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E:\TableTools\example\"/>
    </mc:Choice>
  </mc:AlternateContent>
  <bookViews>
    <workbookView xWindow="3990" yWindow="-30" windowWidth="14445" windowHeight="12525" activeTab="3"/>
  </bookViews>
  <sheets>
    <sheet name="ActivityBase" sheetId="1" r:id="rId1"/>
    <sheet name="ActivityDesc" sheetId="5" r:id="rId2"/>
    <sheet name="ActivityDesc-X1" sheetId="6" r:id="rId3"/>
    <sheet name="ActivityDesc-X2" sheetId="7" r:id="rId4"/>
    <sheet name="备注" sheetId="2" r:id="rId5"/>
    <sheet name="备份" sheetId="3" r:id="rId6"/>
    <sheet name="Sheet2" sheetId="4" r:id="rId7"/>
  </sheets>
  <definedNames>
    <definedName name="_xlnm._FilterDatabase" localSheetId="0" hidden="1">ActivityBase!$R$1:$R$319</definedName>
  </definedNames>
  <calcPr calcId="162913"/>
</workbook>
</file>

<file path=xl/calcChain.xml><?xml version="1.0" encoding="utf-8"?>
<calcChain xmlns="http://schemas.openxmlformats.org/spreadsheetml/2006/main">
  <c r="D4" i="7" l="1"/>
  <c r="D7" i="7" l="1"/>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4" i="6"/>
  <c r="D5" i="6"/>
  <c r="D6" i="6"/>
  <c r="D7" i="6"/>
  <c r="D8" i="6"/>
  <c r="D9" i="6"/>
  <c r="D10" i="6"/>
  <c r="D11" i="6"/>
  <c r="D12" i="6"/>
  <c r="D13" i="6"/>
  <c r="D14" i="6"/>
  <c r="D15" i="6"/>
  <c r="D16" i="6"/>
  <c r="D17" i="6"/>
  <c r="D18" i="6"/>
  <c r="D19" i="6"/>
  <c r="D20" i="6"/>
  <c r="D21" i="6"/>
  <c r="D22" i="6"/>
  <c r="D23" i="6"/>
  <c r="D3" i="6"/>
  <c r="D4" i="5"/>
  <c r="D5" i="5"/>
  <c r="D6" i="5"/>
  <c r="D7" i="5"/>
  <c r="D8" i="5"/>
  <c r="D9" i="5"/>
  <c r="D10" i="5"/>
  <c r="D11" i="5"/>
  <c r="D12" i="5"/>
  <c r="D13" i="5"/>
  <c r="D14" i="5"/>
  <c r="D15" i="5"/>
  <c r="D16" i="5"/>
  <c r="D17" i="5"/>
  <c r="D18" i="5"/>
  <c r="D19" i="5"/>
  <c r="D3" i="5"/>
  <c r="E14" i="7" l="1"/>
  <c r="E13" i="7"/>
  <c r="E12" i="7"/>
  <c r="E11" i="7"/>
  <c r="E10" i="7"/>
  <c r="E9" i="7"/>
  <c r="AB172" i="1" l="1"/>
  <c r="AB209" i="1"/>
  <c r="F209" i="1"/>
  <c r="AB208" i="1"/>
  <c r="F208" i="1"/>
  <c r="AB207" i="1"/>
  <c r="F207" i="1"/>
  <c r="AB206" i="1"/>
  <c r="F206" i="1"/>
  <c r="AB205" i="1"/>
  <c r="F205" i="1"/>
  <c r="AB204" i="1"/>
  <c r="F204" i="1"/>
  <c r="AB169" i="1"/>
  <c r="AB168" i="1"/>
  <c r="AB167" i="1"/>
  <c r="AB166" i="1"/>
  <c r="AB165" i="1"/>
  <c r="AB164" i="1"/>
  <c r="AB234" i="1"/>
  <c r="AB233" i="1"/>
  <c r="AB27" i="1"/>
  <c r="F27" i="1"/>
  <c r="AB26" i="1"/>
  <c r="F26" i="1"/>
  <c r="AB25" i="1"/>
  <c r="F25" i="1"/>
  <c r="AB24" i="1"/>
  <c r="F24" i="1"/>
  <c r="AB23" i="1"/>
  <c r="F23" i="1"/>
  <c r="AB22" i="1"/>
  <c r="F22" i="1"/>
  <c r="AB232" i="1"/>
  <c r="AC197" i="1"/>
  <c r="AB197" i="1"/>
  <c r="AB69" i="1" l="1"/>
  <c r="AB203" i="1"/>
  <c r="AB202" i="1"/>
  <c r="AB201" i="1"/>
  <c r="AB200" i="1"/>
  <c r="AB195" i="1"/>
  <c r="AB220" i="1"/>
  <c r="AB100" i="1"/>
  <c r="AB99" i="1"/>
  <c r="AB98" i="1"/>
  <c r="AB193" i="1"/>
  <c r="AB192" i="1"/>
  <c r="AB191" i="1"/>
  <c r="AB21" i="1"/>
  <c r="F21" i="1"/>
  <c r="AB20" i="1"/>
  <c r="F20" i="1"/>
  <c r="AB19" i="1"/>
  <c r="F19" i="1"/>
  <c r="AB18" i="1"/>
  <c r="F18" i="1"/>
  <c r="AB17" i="1"/>
  <c r="F17" i="1"/>
  <c r="AB16" i="1"/>
  <c r="F16" i="1"/>
  <c r="AB94" i="1"/>
  <c r="AB93" i="1"/>
  <c r="AB92" i="1"/>
  <c r="AC39" i="1"/>
  <c r="AB39" i="1"/>
  <c r="AC35" i="1"/>
  <c r="AB35" i="1"/>
  <c r="AC37" i="1"/>
  <c r="AB37" i="1"/>
  <c r="AB29" i="1"/>
  <c r="AB78" i="3"/>
  <c r="AB79" i="3"/>
  <c r="AB80" i="3"/>
  <c r="AB81" i="3"/>
  <c r="AB82" i="3"/>
  <c r="AB83" i="3"/>
  <c r="AB84" i="3"/>
  <c r="AB85" i="3"/>
  <c r="AB86" i="3"/>
  <c r="AB87" i="3"/>
  <c r="AB88" i="3"/>
  <c r="AB89" i="3"/>
  <c r="AB137" i="1"/>
  <c r="AB138" i="1"/>
  <c r="AB139" i="1"/>
  <c r="AB140" i="1"/>
  <c r="AB141" i="1"/>
  <c r="AB142" i="1"/>
  <c r="AB143" i="1"/>
  <c r="AB144" i="1"/>
  <c r="AB145" i="1"/>
  <c r="AB146" i="1"/>
  <c r="AB147" i="1"/>
  <c r="AB148" i="1"/>
  <c r="AB149" i="1"/>
  <c r="AB150" i="1"/>
  <c r="AB97" i="1"/>
  <c r="AB96" i="1"/>
  <c r="AB231" i="1" l="1"/>
  <c r="AB230" i="1"/>
  <c r="AB229" i="1"/>
  <c r="AB228" i="1"/>
  <c r="AB227" i="1"/>
  <c r="AB226" i="1"/>
  <c r="AB225" i="1"/>
  <c r="AB224" i="1"/>
  <c r="AB223" i="1"/>
  <c r="AB222" i="1"/>
  <c r="AB221" i="1"/>
  <c r="AB219" i="1"/>
  <c r="AB218" i="1"/>
  <c r="AB217" i="1"/>
  <c r="AB216" i="1"/>
  <c r="AB215" i="1"/>
  <c r="AB214" i="1"/>
  <c r="AB213" i="1"/>
  <c r="AB212" i="1"/>
  <c r="AB211" i="1"/>
  <c r="AC210" i="1"/>
  <c r="AB210" i="1"/>
  <c r="F203" i="1"/>
  <c r="F202" i="1"/>
  <c r="F201" i="1"/>
  <c r="F200" i="1"/>
  <c r="AB199" i="1"/>
  <c r="F199" i="1"/>
  <c r="AB198" i="1"/>
  <c r="F198" i="1"/>
  <c r="AC196" i="1"/>
  <c r="AB196" i="1"/>
  <c r="AB194" i="1"/>
  <c r="AB190" i="1"/>
  <c r="AB189" i="1"/>
  <c r="AB188" i="1"/>
  <c r="AB187" i="1"/>
  <c r="AB186" i="1"/>
  <c r="AB185" i="1"/>
  <c r="AB184" i="1"/>
  <c r="AB183" i="1"/>
  <c r="AB182" i="1"/>
  <c r="AB181" i="1"/>
  <c r="AB180" i="1"/>
  <c r="AB179" i="1"/>
  <c r="AB178" i="1"/>
  <c r="AB177" i="1"/>
  <c r="AB176" i="1"/>
  <c r="AB175" i="1"/>
  <c r="AB174" i="1"/>
  <c r="AB173" i="1"/>
  <c r="AB171" i="1"/>
  <c r="AB170" i="1"/>
  <c r="AB163" i="1"/>
  <c r="AB162" i="1"/>
  <c r="AB161" i="1"/>
  <c r="AB160" i="1"/>
  <c r="AB159" i="1"/>
  <c r="AB158" i="1"/>
  <c r="AB136" i="1"/>
  <c r="AC135" i="1"/>
  <c r="AB135" i="1"/>
  <c r="AC134" i="1"/>
  <c r="AB134" i="1"/>
  <c r="AC133" i="1"/>
  <c r="AB133" i="1"/>
  <c r="AC132" i="1"/>
  <c r="AB132" i="1"/>
  <c r="AC131" i="1"/>
  <c r="AB131" i="1"/>
  <c r="AC130" i="1"/>
  <c r="AB130" i="1"/>
  <c r="AB129" i="1"/>
  <c r="AB128" i="1"/>
  <c r="AB127" i="1"/>
  <c r="AB126" i="1"/>
  <c r="AB125" i="1"/>
  <c r="AB124" i="1"/>
  <c r="AB123" i="1"/>
  <c r="AB122" i="1"/>
  <c r="AB121" i="1"/>
  <c r="AB120" i="1"/>
  <c r="AB119" i="1"/>
  <c r="AB118" i="1"/>
  <c r="AB117" i="1"/>
  <c r="AB116" i="1"/>
  <c r="AB115" i="1"/>
  <c r="AB114" i="1"/>
  <c r="AB113" i="1"/>
  <c r="AB112" i="1"/>
  <c r="AB111" i="1"/>
  <c r="AB110" i="1"/>
  <c r="AB109" i="1"/>
  <c r="AB108" i="1"/>
  <c r="E108" i="1"/>
  <c r="AB107" i="1"/>
  <c r="E107" i="1"/>
  <c r="AB106" i="1"/>
  <c r="E106" i="1"/>
  <c r="AB105" i="1"/>
  <c r="E105" i="1"/>
  <c r="AB104" i="1"/>
  <c r="E104" i="1"/>
  <c r="AB103" i="1"/>
  <c r="E103" i="1"/>
  <c r="AB102" i="1"/>
  <c r="AB101" i="1"/>
  <c r="AB95" i="1"/>
  <c r="AB91" i="1"/>
  <c r="AB90" i="1"/>
  <c r="AB89" i="1"/>
  <c r="AB88" i="1"/>
  <c r="AB87" i="1"/>
  <c r="AB86" i="1"/>
  <c r="AB85" i="1"/>
  <c r="AB84" i="1"/>
  <c r="AB83" i="1"/>
  <c r="AB82" i="1"/>
  <c r="AB81" i="1"/>
  <c r="AB80" i="1"/>
  <c r="AB79" i="1"/>
  <c r="AB78" i="1"/>
  <c r="AB77" i="1"/>
  <c r="AB76" i="1"/>
  <c r="AB74" i="1"/>
  <c r="AB73" i="1"/>
  <c r="AB72" i="1"/>
  <c r="AB71" i="1"/>
  <c r="AB70" i="1"/>
  <c r="AB68" i="1"/>
  <c r="AB67" i="1"/>
  <c r="AB66" i="1"/>
  <c r="AC65" i="1"/>
  <c r="AB65" i="1"/>
  <c r="AC64" i="1"/>
  <c r="AB64" i="1"/>
  <c r="AC63" i="1"/>
  <c r="AB63" i="1"/>
  <c r="AB62" i="1"/>
  <c r="AB61" i="1"/>
  <c r="AC60" i="1"/>
  <c r="AB60" i="1"/>
  <c r="AB59" i="1"/>
  <c r="AD58" i="1"/>
  <c r="AC58" i="1"/>
  <c r="AB58" i="1"/>
  <c r="AD57" i="1"/>
  <c r="AC57" i="1"/>
  <c r="AB57" i="1"/>
  <c r="AD56" i="1"/>
  <c r="AC56" i="1"/>
  <c r="AB56" i="1"/>
  <c r="AD55" i="1"/>
  <c r="AC55" i="1"/>
  <c r="AB55" i="1"/>
  <c r="AD54" i="1"/>
  <c r="AC54" i="1"/>
  <c r="AB54" i="1"/>
  <c r="AD53" i="1"/>
  <c r="AC53" i="1"/>
  <c r="AB53" i="1"/>
  <c r="AD52" i="1"/>
  <c r="AC52" i="1"/>
  <c r="AB52" i="1"/>
  <c r="AD51" i="1"/>
  <c r="AC51" i="1"/>
  <c r="AB51" i="1"/>
  <c r="AD50" i="1"/>
  <c r="AC50" i="1"/>
  <c r="AB50" i="1"/>
  <c r="AD49" i="1"/>
  <c r="AC49" i="1"/>
  <c r="AB49" i="1"/>
  <c r="AD48" i="1"/>
  <c r="AC48" i="1"/>
  <c r="AB48" i="1"/>
  <c r="AD47" i="1"/>
  <c r="AC47" i="1"/>
  <c r="AB47" i="1"/>
  <c r="AC46" i="1"/>
  <c r="AB46" i="1"/>
  <c r="AC45" i="1"/>
  <c r="AB45" i="1"/>
  <c r="AC44" i="1"/>
  <c r="AB44" i="1"/>
  <c r="AC43" i="1"/>
  <c r="AB43" i="1"/>
  <c r="AC42" i="1"/>
  <c r="AB42" i="1"/>
  <c r="AC41" i="1"/>
  <c r="AB41" i="1"/>
  <c r="AC40" i="1"/>
  <c r="AB40" i="1"/>
  <c r="AC38" i="1"/>
  <c r="AB38" i="1"/>
  <c r="AC36" i="1"/>
  <c r="AB36" i="1"/>
  <c r="AC34" i="1"/>
  <c r="AB34" i="1"/>
  <c r="AB33" i="1"/>
  <c r="AB32" i="1"/>
  <c r="AB31" i="1"/>
  <c r="AB30" i="1"/>
  <c r="AB28" i="1"/>
  <c r="AB15" i="1"/>
  <c r="F15" i="1"/>
  <c r="AB14" i="1"/>
  <c r="F14" i="1"/>
  <c r="AB13" i="1"/>
  <c r="F13" i="1"/>
  <c r="AB12" i="1"/>
  <c r="F12" i="1"/>
  <c r="AB11" i="1"/>
  <c r="F11" i="1"/>
  <c r="AB10" i="1"/>
  <c r="F10" i="1"/>
  <c r="AB9" i="1"/>
  <c r="AB8" i="1"/>
  <c r="AB7" i="1"/>
  <c r="AB6" i="1"/>
  <c r="AB5" i="1"/>
  <c r="AB4" i="1"/>
  <c r="AB3" i="1"/>
  <c r="AB34" i="4" l="1"/>
  <c r="AB33" i="4"/>
  <c r="AB32" i="4"/>
  <c r="AB31" i="4"/>
  <c r="AB30" i="4"/>
  <c r="AB29" i="4"/>
  <c r="AB28" i="4"/>
  <c r="K4" i="4" l="1"/>
  <c r="K5" i="4"/>
  <c r="K3" i="4"/>
  <c r="AD39" i="3" l="1"/>
  <c r="AD38" i="3"/>
</calcChain>
</file>

<file path=xl/comments1.xml><?xml version="1.0" encoding="utf-8"?>
<comments xmlns="http://schemas.openxmlformats.org/spreadsheetml/2006/main">
  <authors>
    <author>a</author>
  </authors>
  <commentList>
    <comment ref="AT2" authorId="0" shapeId="0">
      <text>
        <r>
          <rPr>
            <b/>
            <sz val="9"/>
            <color indexed="81"/>
            <rFont val="Tahoma"/>
            <family val="2"/>
          </rPr>
          <t>a:</t>
        </r>
        <r>
          <rPr>
            <sz val="9"/>
            <color indexed="81"/>
            <rFont val="Tahoma"/>
            <family val="2"/>
          </rPr>
          <t xml:space="preserve">
</t>
        </r>
        <r>
          <rPr>
            <sz val="9"/>
            <color indexed="81"/>
            <rFont val="宋体"/>
            <family val="3"/>
            <charset val="134"/>
          </rPr>
          <t>用于判断以上三档全部完成条件</t>
        </r>
      </text>
    </comment>
    <comment ref="AU2" authorId="0" shapeId="0">
      <text>
        <r>
          <rPr>
            <b/>
            <sz val="9"/>
            <color indexed="81"/>
            <rFont val="Tahoma"/>
            <family val="2"/>
          </rPr>
          <t>a:</t>
        </r>
        <r>
          <rPr>
            <sz val="9"/>
            <color indexed="81"/>
            <rFont val="Tahoma"/>
            <family val="2"/>
          </rPr>
          <t xml:space="preserve">
</t>
        </r>
        <r>
          <rPr>
            <sz val="9"/>
            <color indexed="81"/>
            <rFont val="宋体"/>
            <family val="3"/>
            <charset val="134"/>
          </rPr>
          <t>用于判断以上三档全部完成条件</t>
        </r>
      </text>
    </comment>
    <comment ref="AV2" authorId="0" shapeId="0">
      <text>
        <r>
          <rPr>
            <b/>
            <sz val="9"/>
            <color indexed="81"/>
            <rFont val="宋体"/>
            <family val="3"/>
            <charset val="134"/>
          </rPr>
          <t>用于控制机甲嘉年华积分排行榜上榜积分数量</t>
        </r>
      </text>
    </comment>
    <comment ref="AD104" authorId="0" shapeId="0">
      <text>
        <r>
          <rPr>
            <b/>
            <sz val="9"/>
            <color indexed="81"/>
            <rFont val="Tahoma"/>
            <family val="2"/>
          </rPr>
          <t>a:</t>
        </r>
        <r>
          <rPr>
            <sz val="9"/>
            <color indexed="81"/>
            <rFont val="Tahoma"/>
            <family val="2"/>
          </rPr>
          <t xml:space="preserve">
</t>
        </r>
        <r>
          <rPr>
            <sz val="9"/>
            <color indexed="81"/>
            <rFont val="宋体"/>
            <family val="3"/>
            <charset val="134"/>
          </rPr>
          <t>判断该条活动是否显示</t>
        </r>
      </text>
    </comment>
    <comment ref="AC212" authorId="0" shapeId="0">
      <text>
        <r>
          <rPr>
            <b/>
            <sz val="9"/>
            <color indexed="81"/>
            <rFont val="Tahoma"/>
            <family val="2"/>
          </rPr>
          <t>a:</t>
        </r>
        <r>
          <rPr>
            <sz val="9"/>
            <color indexed="81"/>
            <rFont val="Tahoma"/>
            <family val="2"/>
          </rPr>
          <t xml:space="preserve">
</t>
        </r>
        <r>
          <rPr>
            <sz val="9"/>
            <color indexed="81"/>
            <rFont val="宋体"/>
            <family val="3"/>
            <charset val="134"/>
          </rPr>
          <t>排行榜序列</t>
        </r>
      </text>
    </comment>
    <comment ref="AD212" authorId="0" shapeId="0">
      <text>
        <r>
          <rPr>
            <b/>
            <sz val="9"/>
            <color indexed="81"/>
            <rFont val="Tahoma"/>
            <family val="2"/>
          </rPr>
          <t>a:</t>
        </r>
        <r>
          <rPr>
            <sz val="9"/>
            <color indexed="81"/>
            <rFont val="Tahoma"/>
            <family val="2"/>
          </rPr>
          <t xml:space="preserve">
</t>
        </r>
        <r>
          <rPr>
            <sz val="9"/>
            <color indexed="81"/>
            <rFont val="宋体"/>
            <family val="3"/>
            <charset val="134"/>
          </rPr>
          <t>最低上榜上限</t>
        </r>
      </text>
    </comment>
    <comment ref="AD223" authorId="0" shapeId="0">
      <text>
        <r>
          <rPr>
            <b/>
            <sz val="9"/>
            <color indexed="81"/>
            <rFont val="Tahoma"/>
            <family val="2"/>
          </rPr>
          <t>a:</t>
        </r>
        <r>
          <rPr>
            <sz val="9"/>
            <color indexed="81"/>
            <rFont val="Tahoma"/>
            <family val="2"/>
          </rPr>
          <t xml:space="preserve">
</t>
        </r>
        <r>
          <rPr>
            <sz val="9"/>
            <color indexed="81"/>
            <rFont val="宋体"/>
            <family val="3"/>
            <charset val="134"/>
          </rPr>
          <t>填写机器人表对应机器人</t>
        </r>
        <r>
          <rPr>
            <sz val="9"/>
            <color indexed="81"/>
            <rFont val="Tahoma"/>
            <family val="2"/>
          </rPr>
          <t>ID</t>
        </r>
      </text>
    </comment>
  </commentList>
</comments>
</file>

<file path=xl/comments2.xml><?xml version="1.0" encoding="utf-8"?>
<comments xmlns="http://schemas.openxmlformats.org/spreadsheetml/2006/main">
  <authors>
    <author>a</author>
  </authors>
  <commentList>
    <comment ref="AC28" authorId="0" shapeId="0">
      <text>
        <r>
          <rPr>
            <b/>
            <sz val="9"/>
            <color indexed="81"/>
            <rFont val="Tahoma"/>
            <family val="2"/>
          </rPr>
          <t>a:</t>
        </r>
        <r>
          <rPr>
            <sz val="9"/>
            <color indexed="81"/>
            <rFont val="Tahoma"/>
            <family val="2"/>
          </rPr>
          <t xml:space="preserve">
</t>
        </r>
        <r>
          <rPr>
            <sz val="9"/>
            <color indexed="81"/>
            <rFont val="宋体"/>
            <family val="3"/>
            <charset val="134"/>
          </rPr>
          <t>排行榜序列</t>
        </r>
      </text>
    </comment>
    <comment ref="AD28" authorId="0" shapeId="0">
      <text>
        <r>
          <rPr>
            <b/>
            <sz val="9"/>
            <color indexed="81"/>
            <rFont val="Tahoma"/>
            <family val="2"/>
          </rPr>
          <t>a:</t>
        </r>
        <r>
          <rPr>
            <sz val="9"/>
            <color indexed="81"/>
            <rFont val="Tahoma"/>
            <family val="2"/>
          </rPr>
          <t xml:space="preserve">
</t>
        </r>
        <r>
          <rPr>
            <sz val="9"/>
            <color indexed="81"/>
            <rFont val="宋体"/>
            <family val="3"/>
            <charset val="134"/>
          </rPr>
          <t>最低上榜上限</t>
        </r>
      </text>
    </comment>
  </commentList>
</comments>
</file>

<file path=xl/sharedStrings.xml><?xml version="1.0" encoding="utf-8"?>
<sst xmlns="http://schemas.openxmlformats.org/spreadsheetml/2006/main" count="5207" uniqueCount="1236">
  <si>
    <t>活动ID</t>
  </si>
  <si>
    <t>活动类型</t>
  </si>
  <si>
    <t>活动显示类型</t>
  </si>
  <si>
    <t>活动名称</t>
  </si>
  <si>
    <t>活动描述</t>
  </si>
  <si>
    <t>活动奖励描述</t>
  </si>
  <si>
    <t>活动图标</t>
  </si>
  <si>
    <t>起始日期</t>
  </si>
  <si>
    <t>结束日期</t>
  </si>
  <si>
    <t>当日起始时间</t>
  </si>
  <si>
    <t>当日结束时间</t>
  </si>
  <si>
    <t>起效星期</t>
  </si>
  <si>
    <t>时间描述</t>
  </si>
  <si>
    <t>接受等级段</t>
  </si>
  <si>
    <t>总完成次数</t>
  </si>
  <si>
    <t>前置活动</t>
  </si>
  <si>
    <t>副本列表</t>
  </si>
  <si>
    <t>副本经验倍数</t>
  </si>
  <si>
    <t>副本掉落倍数</t>
  </si>
  <si>
    <t>在线时长</t>
  </si>
  <si>
    <t>升级等级</t>
  </si>
  <si>
    <t>充值数量</t>
  </si>
  <si>
    <t>世界BOSS</t>
  </si>
  <si>
    <t>世界BOSS等级</t>
  </si>
  <si>
    <t>场景ID</t>
  </si>
  <si>
    <t>对应充值表ID</t>
  </si>
  <si>
    <t>功能1</t>
  </si>
  <si>
    <t>每日次数</t>
  </si>
  <si>
    <t>活动奖励显示图标</t>
  </si>
  <si>
    <t>公告</t>
  </si>
  <si>
    <t>ID</t>
  </si>
  <si>
    <t>Type</t>
  </si>
  <si>
    <t>ActivityClass</t>
  </si>
  <si>
    <t>Name</t>
  </si>
  <si>
    <t>Desc</t>
  </si>
  <si>
    <t>ActivityDesc</t>
  </si>
  <si>
    <t>Icon</t>
  </si>
  <si>
    <t>StartDate</t>
  </si>
  <si>
    <t>StopDate</t>
  </si>
  <si>
    <t>StartTime</t>
  </si>
  <si>
    <t>StopTime</t>
  </si>
  <si>
    <t>Days</t>
  </si>
  <si>
    <t>TimeTips</t>
  </si>
  <si>
    <t>LevelRange</t>
  </si>
  <si>
    <t>TotalCount</t>
  </si>
  <si>
    <t>PreActivity</t>
  </si>
  <si>
    <t>PveLevels</t>
  </si>
  <si>
    <t>PveExpTimes</t>
  </si>
  <si>
    <t>PveDropTimes</t>
  </si>
  <si>
    <t>OnlineTime</t>
  </si>
  <si>
    <t>UpgradeLevel</t>
  </si>
  <si>
    <t>RechargeValue</t>
  </si>
  <si>
    <t>BossId</t>
  </si>
  <si>
    <t>BossLevel</t>
  </si>
  <si>
    <t>SceneId</t>
  </si>
  <si>
    <t>RechargeId</t>
  </si>
  <si>
    <t>Function1</t>
  </si>
  <si>
    <t>DailyTimes</t>
  </si>
  <si>
    <t>ActivityItem</t>
  </si>
  <si>
    <t>Notice</t>
  </si>
  <si>
    <t>M_zhiyetouxiang1</t>
  </si>
  <si>
    <t>00:00:00</t>
  </si>
  <si>
    <t>23:59:59</t>
  </si>
  <si>
    <t>1|2|3|4|5|6|7</t>
  </si>
  <si>
    <t>全天</t>
  </si>
  <si>
    <t>OpenRechargeWnd</t>
  </si>
  <si>
    <t>101002</t>
  </si>
  <si>
    <t>101003</t>
  </si>
  <si>
    <t>101004</t>
  </si>
  <si>
    <t>101005</t>
  </si>
  <si>
    <t>102001</t>
  </si>
  <si>
    <t>在线礼包1</t>
  </si>
  <si>
    <t>在线1分钟</t>
  </si>
  <si>
    <t>在线30秒</t>
  </si>
  <si>
    <t>OpenOnlineRewardWnd</t>
  </si>
  <si>
    <t>102002</t>
  </si>
  <si>
    <t>在线礼包2</t>
  </si>
  <si>
    <t>在线2分钟</t>
  </si>
  <si>
    <t>在线90秒</t>
  </si>
  <si>
    <t>102003</t>
  </si>
  <si>
    <t>在线礼包3</t>
  </si>
  <si>
    <t>在线3分钟</t>
  </si>
  <si>
    <t>在线5分钟</t>
  </si>
  <si>
    <t>102004</t>
  </si>
  <si>
    <t>在线礼包4</t>
  </si>
  <si>
    <t>在线4分钟</t>
  </si>
  <si>
    <t>在线15分钟</t>
  </si>
  <si>
    <t>102005</t>
  </si>
  <si>
    <t>在线礼包5</t>
  </si>
  <si>
    <t>在线30分钟</t>
  </si>
  <si>
    <t>102006</t>
  </si>
  <si>
    <t>在线礼包6</t>
  </si>
  <si>
    <t>在线10分钟</t>
  </si>
  <si>
    <t>在线1小时</t>
  </si>
  <si>
    <t>103001</t>
  </si>
  <si>
    <t>副本活动</t>
  </si>
  <si>
    <t>指定的副本2倍经验</t>
  </si>
  <si>
    <t>通关副本将会获得2倍经验奖励</t>
  </si>
  <si>
    <t>11点到23点</t>
  </si>
  <si>
    <t>8001|8002|8011|8012</t>
  </si>
  <si>
    <t>OpenLevelSelectWnd</t>
  </si>
  <si>
    <t>103002</t>
  </si>
  <si>
    <t>8021|8022|8031|8032</t>
  </si>
  <si>
    <t>103003</t>
  </si>
  <si>
    <t>8041|8042|8051|8052</t>
  </si>
  <si>
    <t>103004</t>
  </si>
  <si>
    <t>8061|8062|8071|8072</t>
  </si>
  <si>
    <t>105001</t>
  </si>
  <si>
    <t>等级礼包</t>
  </si>
  <si>
    <t>等级达到10级</t>
  </si>
  <si>
    <t>OpenLevelRewardWnd</t>
  </si>
  <si>
    <t>1|2</t>
  </si>
  <si>
    <t>105002</t>
  </si>
  <si>
    <t>等级达到15级</t>
  </si>
  <si>
    <t>105003</t>
  </si>
  <si>
    <t>等级达到20级</t>
  </si>
  <si>
    <t>105004</t>
  </si>
  <si>
    <t>等级达到25级</t>
  </si>
  <si>
    <t>105005</t>
  </si>
  <si>
    <t>等级达到30级</t>
  </si>
  <si>
    <t>105006</t>
  </si>
  <si>
    <t>等级达到40级</t>
  </si>
  <si>
    <t>105007</t>
  </si>
  <si>
    <t>等级达到50级</t>
  </si>
  <si>
    <t>105008</t>
  </si>
  <si>
    <t>等级达到60级</t>
  </si>
  <si>
    <t>106001</t>
  </si>
  <si>
    <t>首充</t>
  </si>
  <si>
    <t>首次充值啥的</t>
  </si>
  <si>
    <t>世界BOSS莱布王</t>
  </si>
  <si>
    <t>击杀世界BOSS将会获得丰厚奖励，金币多多，宝物多多</t>
  </si>
  <si>
    <t>将会获得大量金币</t>
  </si>
  <si>
    <t>Chapter1</t>
  </si>
  <si>
    <t>12点到14点</t>
  </si>
  <si>
    <t>OpenWorldBoss</t>
  </si>
  <si>
    <t>世界BOSS克洛德</t>
  </si>
  <si>
    <t>Chapter2</t>
  </si>
  <si>
    <t>22:00:00</t>
  </si>
  <si>
    <t>公会战</t>
  </si>
  <si>
    <t>公会战即将开启，勇士们拿起武器去碾压对手们！</t>
  </si>
  <si>
    <t>为奖励奋勇厮杀的勇士们，所有参与公会战的勇士将会获得大量公会贡献值和大量金币钻石奖励。</t>
  </si>
  <si>
    <t>21:00:00</t>
  </si>
  <si>
    <t>3|6</t>
  </si>
  <si>
    <t>每周三周六21点到22点</t>
  </si>
  <si>
    <t>OpenGuildsBoss</t>
  </si>
  <si>
    <t>00:00:01</t>
  </si>
  <si>
    <t>守护我们的家园是每个勇士义不容辞的责任</t>
  </si>
  <si>
    <t>将会获得大量宠物碎片</t>
  </si>
  <si>
    <t>OpenTowerDefenseWnd</t>
  </si>
  <si>
    <t>1|4010401</t>
  </si>
  <si>
    <t>签到活动</t>
  </si>
  <si>
    <t>每日签到可领取奖励</t>
  </si>
  <si>
    <t>每月将会有主打奖励</t>
  </si>
  <si>
    <t>OpenSignInWnd</t>
  </si>
  <si>
    <t>击杀那些低端勇士，秒杀他们</t>
  </si>
  <si>
    <t>每天的排名都有奖励哦，你还在等什么呢？</t>
  </si>
  <si>
    <t>OfflinePVP</t>
  </si>
  <si>
    <t>月卡</t>
  </si>
  <si>
    <t>每日领取获得钻石</t>
  </si>
  <si>
    <t>task_rmb_icon</t>
  </si>
  <si>
    <t>季卡</t>
  </si>
  <si>
    <t>每日领取钻石礼包</t>
  </si>
  <si>
    <t>114001</t>
  </si>
  <si>
    <t>与好友一起努力，挑战那些不可能的关卡吧</t>
  </si>
  <si>
    <t>挑战副本可获得各种宝石</t>
  </si>
  <si>
    <t>OpenDareInstanceWnd</t>
  </si>
  <si>
    <t>3003300|3003400</t>
  </si>
  <si>
    <t>积分越高，奖励越多，你还在等什么呢？</t>
  </si>
  <si>
    <t>每日领取积分奖励即可获得丰厚奖励</t>
  </si>
  <si>
    <t>117001</t>
  </si>
  <si>
    <t>显示购买活动</t>
  </si>
  <si>
    <t>限时购买大放送</t>
  </si>
  <si>
    <t>118001</t>
  </si>
  <si>
    <t>全天开启</t>
  </si>
  <si>
    <t>可获得大量金币</t>
  </si>
  <si>
    <t>每周二四六日开启</t>
  </si>
  <si>
    <t>可获得大量强化石</t>
  </si>
  <si>
    <t>经验本每天开启</t>
  </si>
  <si>
    <t>5500|5501|5502</t>
  </si>
  <si>
    <t>120001</t>
  </si>
  <si>
    <t>爬塔班每天开启</t>
  </si>
  <si>
    <t>可获得丰厚的奖励</t>
  </si>
  <si>
    <t>121001</t>
  </si>
  <si>
    <t>通关星球掠夺第3层奖励</t>
  </si>
  <si>
    <t>通关星球掠夺第6层奖励</t>
  </si>
  <si>
    <t>通关星球掠夺第9层奖励</t>
  </si>
  <si>
    <t>通关星球掠夺第12层奖励</t>
  </si>
  <si>
    <t>第1章终章BOSS通关奖励</t>
  </si>
  <si>
    <t>第2章终章BOSS通关奖励</t>
  </si>
  <si>
    <t>第3章终章BOSS通关奖励</t>
  </si>
  <si>
    <t>第4章终章BOSS通关奖励</t>
  </si>
  <si>
    <t>第5章终章BOSS通关奖励</t>
  </si>
  <si>
    <t>第6章终章BOSS通关奖励</t>
  </si>
  <si>
    <t>每天中午12点-14点和下午18点-20点均可吃大餐补充体力</t>
  </si>
  <si>
    <t>奖励表ID</t>
  </si>
  <si>
    <t>RewardBaseID</t>
  </si>
  <si>
    <t>5-70</t>
  </si>
  <si>
    <t>10-70</t>
  </si>
  <si>
    <t>15-70</t>
  </si>
  <si>
    <t>20-70</t>
  </si>
  <si>
    <t>25-70</t>
  </si>
  <si>
    <t>30-70</t>
  </si>
  <si>
    <t>40-70</t>
  </si>
  <si>
    <t>50-70</t>
  </si>
  <si>
    <t>70-70</t>
  </si>
  <si>
    <t>124002</t>
  </si>
  <si>
    <t>124003</t>
  </si>
  <si>
    <t>首充满6元，即可获体力药剂*2、稀有时装*1、机甲升级道具*100、金币*100000</t>
  </si>
  <si>
    <t>购买当日可领取880钻，游戏运营期间每日领取80钻</t>
  </si>
  <si>
    <t>累计登陆第15天当天可领取1000钻石礼包。</t>
  </si>
  <si>
    <t>1-99</t>
  </si>
  <si>
    <t>2025-01-02</t>
  </si>
  <si>
    <t>2025-02-02</t>
  </si>
  <si>
    <t>2025-01-03</t>
  </si>
  <si>
    <t>2025-02-03</t>
  </si>
  <si>
    <t>2025-01-04</t>
  </si>
  <si>
    <t>2025-02-04</t>
  </si>
  <si>
    <t>2025-01-05</t>
  </si>
  <si>
    <t>2025-02-05</t>
  </si>
  <si>
    <t>2025-01-06</t>
  </si>
  <si>
    <t>2025-02-06</t>
  </si>
  <si>
    <t>2025-01-07</t>
  </si>
  <si>
    <t>2025-02-07</t>
  </si>
  <si>
    <t>101006</t>
  </si>
  <si>
    <t>101007</t>
  </si>
  <si>
    <t>101008</t>
  </si>
  <si>
    <t>101009</t>
  </si>
  <si>
    <t>101010</t>
  </si>
  <si>
    <t>101011</t>
  </si>
  <si>
    <t>101012</t>
  </si>
  <si>
    <t>101013</t>
  </si>
  <si>
    <t>累计充值881钻</t>
  </si>
  <si>
    <t>累计充值882钻</t>
  </si>
  <si>
    <t>累计充值883钻</t>
  </si>
  <si>
    <t>累计充值884钻</t>
  </si>
  <si>
    <t>累计充值885钻</t>
  </si>
  <si>
    <t>累计充值886钻</t>
  </si>
  <si>
    <t>累计充值887钻</t>
  </si>
  <si>
    <t>累计充值888钻</t>
  </si>
  <si>
    <t>累计充值889钻</t>
  </si>
  <si>
    <t>累计充值890钻</t>
  </si>
  <si>
    <t>2015-02-02</t>
  </si>
  <si>
    <t>2015-02-03</t>
  </si>
  <si>
    <t>2015-02-04</t>
  </si>
  <si>
    <t>2015-02-05</t>
  </si>
  <si>
    <t>2015-02-06</t>
  </si>
  <si>
    <t>2015-02-07</t>
  </si>
  <si>
    <t>2015-02-08</t>
  </si>
  <si>
    <t>2015-08-02</t>
  </si>
  <si>
    <t>2015-08-03</t>
  </si>
  <si>
    <t>2015-08-04</t>
  </si>
  <si>
    <t>2015-08-05</t>
  </si>
  <si>
    <t>2015-08-06</t>
  </si>
  <si>
    <t>2015-08-07</t>
  </si>
  <si>
    <t>2015-08-08</t>
  </si>
  <si>
    <t>2015-08-09</t>
  </si>
  <si>
    <t>2015-08-10</t>
  </si>
  <si>
    <t>2015-08-11</t>
  </si>
  <si>
    <t>2015-08-12</t>
  </si>
  <si>
    <t>2015-08-13</t>
  </si>
  <si>
    <t>间隔CD</t>
    <phoneticPr fontId="25" type="noConversion"/>
  </si>
  <si>
    <t>商店表ID</t>
    <phoneticPr fontId="25" type="noConversion"/>
  </si>
  <si>
    <t>活动开启前置任务ID</t>
    <phoneticPr fontId="25" type="noConversion"/>
  </si>
  <si>
    <t>VIP等级限制</t>
    <phoneticPr fontId="25" type="noConversion"/>
  </si>
  <si>
    <t>CoolDown</t>
    <phoneticPr fontId="25" type="noConversion"/>
  </si>
  <si>
    <t>ShopBaseID</t>
    <phoneticPr fontId="25" type="noConversion"/>
  </si>
  <si>
    <t>QuestId</t>
    <phoneticPr fontId="25" type="noConversion"/>
  </si>
  <si>
    <t>Vip</t>
    <phoneticPr fontId="25" type="noConversion"/>
  </si>
  <si>
    <t>101001</t>
    <phoneticPr fontId="25" type="noConversion"/>
  </si>
  <si>
    <t>强者之路</t>
    <phoneticPr fontId="25" type="noConversion"/>
  </si>
  <si>
    <t>累计充值任意金额即可获得奖励</t>
    <phoneticPr fontId="25" type="noConversion"/>
  </si>
  <si>
    <t>2015-02-01</t>
    <phoneticPr fontId="25" type="noConversion"/>
  </si>
  <si>
    <t>2015-08-01</t>
    <phoneticPr fontId="25" type="noConversion"/>
  </si>
  <si>
    <t>1-99</t>
    <phoneticPr fontId="25" type="noConversion"/>
  </si>
  <si>
    <t>累计充值300钻</t>
    <phoneticPr fontId="25" type="noConversion"/>
  </si>
  <si>
    <t>累计充值880钻</t>
    <phoneticPr fontId="25" type="noConversion"/>
  </si>
  <si>
    <t>累计充值</t>
    <phoneticPr fontId="25" type="noConversion"/>
  </si>
  <si>
    <t>2025-01-01</t>
    <phoneticPr fontId="25" type="noConversion"/>
  </si>
  <si>
    <t>2025-02-01</t>
    <phoneticPr fontId="25" type="noConversion"/>
  </si>
  <si>
    <t>英雄擂台</t>
    <phoneticPr fontId="25" type="noConversion"/>
  </si>
  <si>
    <t>拿起你的武器，来证明你是这个宇宙最强大的</t>
    <phoneticPr fontId="25" type="noConversion"/>
  </si>
  <si>
    <t>擂台排行奖励</t>
    <phoneticPr fontId="25" type="noConversion"/>
  </si>
  <si>
    <t>M_zhiyetouxiang1</t>
    <phoneticPr fontId="25" type="noConversion"/>
  </si>
  <si>
    <t>2014-05-01</t>
    <phoneticPr fontId="25" type="noConversion"/>
  </si>
  <si>
    <t>2024-05-01</t>
    <phoneticPr fontId="25" type="noConversion"/>
  </si>
  <si>
    <t>21:00:00</t>
    <phoneticPr fontId="25" type="noConversion"/>
  </si>
  <si>
    <t>21:30:00</t>
    <phoneticPr fontId="25" type="noConversion"/>
  </si>
  <si>
    <t>21:00-21:30</t>
    <phoneticPr fontId="25" type="noConversion"/>
  </si>
  <si>
    <t>1-99</t>
    <phoneticPr fontId="25" type="noConversion"/>
  </si>
  <si>
    <t>2025-02-01</t>
    <phoneticPr fontId="25" type="noConversion"/>
  </si>
  <si>
    <t>80-100</t>
    <phoneticPr fontId="25" type="noConversion"/>
  </si>
  <si>
    <t>星际采矿</t>
    <phoneticPr fontId="25" type="noConversion"/>
  </si>
  <si>
    <t>打劫矿星</t>
    <phoneticPr fontId="25" type="noConversion"/>
  </si>
  <si>
    <t>2014-05-01</t>
    <phoneticPr fontId="25" type="noConversion"/>
  </si>
  <si>
    <t>2024-05-01</t>
    <phoneticPr fontId="25" type="noConversion"/>
  </si>
  <si>
    <t>基地防守</t>
    <phoneticPr fontId="25" type="noConversion"/>
  </si>
  <si>
    <t>5111|5112|5113|5121|5122|5123|5131|5132|5133|5141|5142|5143|5151|5152|5153|5161|5162|5163</t>
    <phoneticPr fontId="25" type="noConversion"/>
  </si>
  <si>
    <t>机甲竞技场</t>
    <phoneticPr fontId="25" type="noConversion"/>
  </si>
  <si>
    <t>0-70</t>
    <phoneticPr fontId="25" type="noConversion"/>
  </si>
  <si>
    <t>2025-01-01</t>
    <phoneticPr fontId="25" type="noConversion"/>
  </si>
  <si>
    <t>2025-02-01</t>
    <phoneticPr fontId="25" type="noConversion"/>
  </si>
  <si>
    <t>永久月卡（可与月卡叠加）</t>
    <phoneticPr fontId="25" type="noConversion"/>
  </si>
  <si>
    <t>在商城中购买永久月卡，两类月卡可同时享有。</t>
    <phoneticPr fontId="25" type="noConversion"/>
  </si>
  <si>
    <t>2015-06-23</t>
    <phoneticPr fontId="25" type="noConversion"/>
  </si>
  <si>
    <t>2015-07-07</t>
    <phoneticPr fontId="25" type="noConversion"/>
  </si>
  <si>
    <t>组队本</t>
    <phoneticPr fontId="25" type="noConversion"/>
  </si>
  <si>
    <t>离线PVP积分赛</t>
    <phoneticPr fontId="25" type="noConversion"/>
  </si>
  <si>
    <t>15-99</t>
    <phoneticPr fontId="25" type="noConversion"/>
  </si>
  <si>
    <t>登录礼包</t>
    <phoneticPr fontId="25" type="noConversion"/>
  </si>
  <si>
    <t>累计登录满15天更可获得月度千钻大礼包。</t>
    <phoneticPr fontId="25" type="noConversion"/>
  </si>
  <si>
    <t>1-70</t>
    <phoneticPr fontId="25" type="noConversion"/>
  </si>
  <si>
    <t>守护神龙</t>
    <phoneticPr fontId="25" type="noConversion"/>
  </si>
  <si>
    <t>神龙礼包大放送</t>
    <phoneticPr fontId="25" type="noConversion"/>
  </si>
  <si>
    <t>金币本</t>
    <phoneticPr fontId="25" type="noConversion"/>
  </si>
  <si>
    <t>W_icon1</t>
    <phoneticPr fontId="25" type="noConversion"/>
  </si>
  <si>
    <t>5400|5401|5402</t>
    <phoneticPr fontId="25" type="noConversion"/>
  </si>
  <si>
    <t>118002</t>
    <phoneticPr fontId="25" type="noConversion"/>
  </si>
  <si>
    <t>能量球本</t>
    <phoneticPr fontId="25" type="noConversion"/>
  </si>
  <si>
    <t>2024-05-01</t>
    <phoneticPr fontId="25" type="noConversion"/>
  </si>
  <si>
    <t>18:00:00</t>
    <phoneticPr fontId="25" type="noConversion"/>
  </si>
  <si>
    <t>22:00:00</t>
    <phoneticPr fontId="25" type="noConversion"/>
  </si>
  <si>
    <t>擂台开放时间：18：00到22：00</t>
    <phoneticPr fontId="25" type="noConversion"/>
  </si>
  <si>
    <t>105000</t>
    <phoneticPr fontId="25" type="noConversion"/>
  </si>
  <si>
    <t>等级达到5级</t>
    <phoneticPr fontId="25" type="noConversion"/>
  </si>
  <si>
    <t>60-70</t>
    <phoneticPr fontId="25" type="noConversion"/>
  </si>
  <si>
    <t>105009</t>
    <phoneticPr fontId="25" type="noConversion"/>
  </si>
  <si>
    <t>等级达到70级</t>
    <phoneticPr fontId="25" type="noConversion"/>
  </si>
  <si>
    <t>12:00:00</t>
    <phoneticPr fontId="25" type="noConversion"/>
  </si>
  <si>
    <t>12:30:00</t>
    <phoneticPr fontId="25" type="noConversion"/>
  </si>
  <si>
    <t>12:00-12:30</t>
    <phoneticPr fontId="25" type="noConversion"/>
  </si>
  <si>
    <t>2015-07-15</t>
    <phoneticPr fontId="25" type="noConversion"/>
  </si>
  <si>
    <t>7-99</t>
    <phoneticPr fontId="25" type="noConversion"/>
  </si>
  <si>
    <t>可获得大量能量球</t>
    <phoneticPr fontId="25" type="noConversion"/>
  </si>
  <si>
    <t>item_partner_002</t>
    <phoneticPr fontId="25" type="noConversion"/>
  </si>
  <si>
    <t>5404|5405|5406</t>
    <phoneticPr fontId="25" type="noConversion"/>
  </si>
  <si>
    <t>118004</t>
    <phoneticPr fontId="25" type="noConversion"/>
  </si>
  <si>
    <t>强化石本</t>
    <phoneticPr fontId="25" type="noConversion"/>
  </si>
  <si>
    <t>item_qianghua_001</t>
    <phoneticPr fontId="25" type="noConversion"/>
  </si>
  <si>
    <t>5408|5409|5410</t>
    <phoneticPr fontId="25" type="noConversion"/>
  </si>
  <si>
    <t>118003</t>
    <phoneticPr fontId="25" type="noConversion"/>
  </si>
  <si>
    <t>经验本</t>
    <phoneticPr fontId="25" type="noConversion"/>
  </si>
  <si>
    <t>可获得大量经验</t>
    <phoneticPr fontId="25" type="noConversion"/>
  </si>
  <si>
    <t>exp01</t>
    <phoneticPr fontId="25" type="noConversion"/>
  </si>
  <si>
    <t>星际爬塔</t>
    <phoneticPr fontId="25" type="noConversion"/>
  </si>
  <si>
    <t>5611|5624|5615|5631|5622|5635|5612|5625|5616|5632|5623|5636|5621|5634|5637|5613|5626|5617|5633|5614|5627</t>
    <phoneticPr fontId="25" type="noConversion"/>
  </si>
  <si>
    <t>每日充值领福利</t>
    <phoneticPr fontId="25" type="noConversion"/>
  </si>
  <si>
    <t>活动期间，每日充值满6元，即可领取如下奖励</t>
    <phoneticPr fontId="25" type="noConversion"/>
  </si>
  <si>
    <t>金币*18888，能量球*50，强化石*50</t>
    <phoneticPr fontId="25" type="noConversion"/>
  </si>
  <si>
    <t>2015-06-28</t>
    <phoneticPr fontId="25" type="noConversion"/>
  </si>
  <si>
    <t>2015-07-03</t>
    <phoneticPr fontId="25" type="noConversion"/>
  </si>
  <si>
    <t>体力恢复</t>
    <phoneticPr fontId="25" type="noConversion"/>
  </si>
  <si>
    <t>每天中午12点-14点和下午18点-20点均可吃大餐补充体力</t>
    <phoneticPr fontId="25" type="noConversion"/>
  </si>
  <si>
    <t>领取50点体力</t>
    <phoneticPr fontId="25" type="noConversion"/>
  </si>
  <si>
    <t>12:00:00</t>
    <phoneticPr fontId="25" type="noConversion"/>
  </si>
  <si>
    <t>14:00:00</t>
    <phoneticPr fontId="25" type="noConversion"/>
  </si>
  <si>
    <t>20:00:00</t>
    <phoneticPr fontId="25" type="noConversion"/>
  </si>
  <si>
    <t>07:00:00</t>
    <phoneticPr fontId="25" type="noConversion"/>
  </si>
  <si>
    <t>09:00:00</t>
    <phoneticPr fontId="25" type="noConversion"/>
  </si>
  <si>
    <t>2-15</t>
    <phoneticPr fontId="25" type="noConversion"/>
  </si>
  <si>
    <t>124001</t>
    <phoneticPr fontId="25" type="noConversion"/>
  </si>
  <si>
    <t>充值返利</t>
    <phoneticPr fontId="25" type="noConversion"/>
  </si>
  <si>
    <t>另赠送6480钻石[28ff28]（限赠1次）[-]在精彩活动充值返利中领取</t>
    <phoneticPr fontId="25" type="noConversion"/>
  </si>
  <si>
    <t>用于活动钻石返还</t>
    <phoneticPr fontId="25" type="noConversion"/>
  </si>
  <si>
    <t>另赠送1980钻石[28ff28]（限赠1次）[-]在精彩活动充值返利中领取</t>
    <phoneticPr fontId="25" type="noConversion"/>
  </si>
  <si>
    <t>另赠送300钻石[28ff28]（限赠1次）[-]在精彩活动充值返利中领取</t>
    <phoneticPr fontId="25" type="noConversion"/>
  </si>
  <si>
    <t>月度礼包</t>
    <phoneticPr fontId="25" type="noConversion"/>
  </si>
  <si>
    <t>累计充值[70e6ff]300[-]钻即可获得   【稀有守护】蓝翼神龙</t>
    <phoneticPr fontId="25" type="noConversion"/>
  </si>
  <si>
    <t>累计充值[70e6ff]880[-]钻即可获得【稀有套装】征服者手套</t>
    <phoneticPr fontId="25" type="noConversion"/>
  </si>
  <si>
    <t>累计充值获得[70e6ff]1680[-]钻即可获得【稀有套装】征服者衣服</t>
    <phoneticPr fontId="25" type="noConversion"/>
  </si>
  <si>
    <t>累计充值[70e6ff]6880[-]钻即可获得【稀有宠物】岩灵·法师</t>
    <phoneticPr fontId="25" type="noConversion"/>
  </si>
  <si>
    <t>累计充值[70e6ff]12800[-]钻即可获得【稀有枪械】</t>
    <phoneticPr fontId="25" type="noConversion"/>
  </si>
  <si>
    <t>累计充值[[70e6ff]]18800[-]即可获得奖励【稀有翅膀】神圣之翼</t>
    <phoneticPr fontId="25" type="noConversion"/>
  </si>
  <si>
    <t>首次充值60钻即可获得总价[70e6ff]8880[-]钻的奖励
稀有时装  闪避[70e6ff]+25[-]  战力狂飙[70e6ff]425[-][-]</t>
    <phoneticPr fontId="25" type="noConversion"/>
  </si>
  <si>
    <t>[fff600]</t>
    <phoneticPr fontId="37" type="noConversion"/>
  </si>
  <si>
    <t>[-]</t>
    <phoneticPr fontId="37" type="noConversion"/>
  </si>
  <si>
    <t>累计登录满15天更可获得丰厚大奖。</t>
  </si>
  <si>
    <t>105101</t>
  </si>
  <si>
    <t>105102</t>
  </si>
  <si>
    <t>105103</t>
  </si>
  <si>
    <t>105104</t>
  </si>
  <si>
    <t>105105</t>
  </si>
  <si>
    <t>105106</t>
  </si>
  <si>
    <t>105107</t>
  </si>
  <si>
    <t>105108</t>
  </si>
  <si>
    <t>105109</t>
  </si>
  <si>
    <t>充值活动，参数：Recharge</t>
    <phoneticPr fontId="25" type="noConversion"/>
  </si>
  <si>
    <t>竞技场，参数： pvp</t>
    <phoneticPr fontId="25" type="noConversion"/>
  </si>
  <si>
    <t>升级活动，参数：Upgrade</t>
    <phoneticPr fontId="25" type="noConversion"/>
  </si>
  <si>
    <t>世界BOSS</t>
    <phoneticPr fontId="25" type="noConversion"/>
  </si>
  <si>
    <t>塔防活动</t>
    <phoneticPr fontId="25" type="noConversion"/>
  </si>
  <si>
    <t>签到活动</t>
    <phoneticPr fontId="25" type="noConversion"/>
  </si>
  <si>
    <t>离线PVP</t>
    <phoneticPr fontId="25" type="noConversion"/>
  </si>
  <si>
    <t>7天登录活动</t>
    <phoneticPr fontId="25" type="noConversion"/>
  </si>
  <si>
    <t>限时购买活动</t>
    <phoneticPr fontId="25" type="noConversion"/>
  </si>
  <si>
    <t>资源本活动</t>
    <phoneticPr fontId="25" type="noConversion"/>
  </si>
  <si>
    <t>经验本活动</t>
    <phoneticPr fontId="25" type="noConversion"/>
  </si>
  <si>
    <t>无尽关（爬塔）</t>
    <phoneticPr fontId="25" type="noConversion"/>
  </si>
  <si>
    <t>副本首次通关奖励</t>
    <phoneticPr fontId="25" type="noConversion"/>
  </si>
  <si>
    <t>限时性充值活动</t>
    <phoneticPr fontId="25" type="noConversion"/>
  </si>
  <si>
    <t>等级礼包</t>
    <phoneticPr fontId="25" type="noConversion"/>
  </si>
  <si>
    <t>活动主类型</t>
    <phoneticPr fontId="25" type="noConversion"/>
  </si>
  <si>
    <t>类型名称</t>
    <phoneticPr fontId="25" type="noConversion"/>
  </si>
  <si>
    <t>活动显示类型（子类型）</t>
    <phoneticPr fontId="25" type="noConversion"/>
  </si>
  <si>
    <t>金币本</t>
    <phoneticPr fontId="25" type="noConversion"/>
  </si>
  <si>
    <t>强化石本</t>
    <phoneticPr fontId="25" type="noConversion"/>
  </si>
  <si>
    <t>星际爬塔</t>
    <phoneticPr fontId="25" type="noConversion"/>
  </si>
  <si>
    <t>每日单笔充值活动</t>
    <phoneticPr fontId="25" type="noConversion"/>
  </si>
  <si>
    <t>购买指定类型充值产品</t>
    <phoneticPr fontId="25" type="noConversion"/>
  </si>
  <si>
    <t>购买一次后完成</t>
    <phoneticPr fontId="25" type="noConversion"/>
  </si>
  <si>
    <t>购买多次后完成</t>
    <phoneticPr fontId="25" type="noConversion"/>
  </si>
  <si>
    <t>117002</t>
    <phoneticPr fontId="25" type="noConversion"/>
  </si>
  <si>
    <t>单笔充值领福利</t>
    <phoneticPr fontId="25" type="noConversion"/>
  </si>
  <si>
    <t>item_baoxiang_002</t>
  </si>
  <si>
    <t>声望</t>
  </si>
  <si>
    <t>获得物品</t>
  </si>
  <si>
    <t>随机掉落包</t>
  </si>
  <si>
    <t>随机掉落次数</t>
  </si>
  <si>
    <t>阶数</t>
    <phoneticPr fontId="37" type="noConversion"/>
  </si>
  <si>
    <t>2个导弹发射器，在玩家左右两侧，定时发射导弹</t>
  </si>
  <si>
    <t>导弹发射器位置</t>
    <phoneticPr fontId="37" type="noConversion"/>
  </si>
  <si>
    <t>导弹发射样式</t>
    <phoneticPr fontId="37" type="noConversion"/>
  </si>
  <si>
    <t>类似子弹，直接射击正前方单位，不会跟踪</t>
    <phoneticPr fontId="37" type="noConversion"/>
  </si>
  <si>
    <t>发射的是导弹，正前方不会跟踪</t>
    <phoneticPr fontId="37" type="noConversion"/>
  </si>
  <si>
    <t>2个导弹发射器，在玩家左右两侧，定时发射导弹，导弹会先向外后放移动一下，之后向前放单位射击，寻找最近的单位攻击，即时最近的单位移动了，会跟踪过去。</t>
    <phoneticPr fontId="37" type="noConversion"/>
  </si>
  <si>
    <t>寻找最近的目标，即时目标移动也会命中，跟踪导弹。发射时，导弹会先向外后放移动一下，之后向前放单位射击</t>
    <phoneticPr fontId="37" type="noConversion"/>
  </si>
  <si>
    <t>3个导弹发射器，两两间为120度，在玩家背后旋转，定时发射</t>
    <phoneticPr fontId="37" type="noConversion"/>
  </si>
  <si>
    <t>发射的是激光，正前方范围伤害，路径上的都伤血。8、9、10从细到粗</t>
    <phoneticPr fontId="37" type="noConversion"/>
  </si>
  <si>
    <t>无尽积分</t>
    <phoneticPr fontId="25" type="noConversion"/>
  </si>
  <si>
    <t>礼包码</t>
    <phoneticPr fontId="25" type="noConversion"/>
  </si>
  <si>
    <t>累计登录</t>
    <phoneticPr fontId="25" type="noConversion"/>
  </si>
  <si>
    <t>宝箱积分</t>
    <phoneticPr fontId="25" type="noConversion"/>
  </si>
  <si>
    <t>幸运转盘</t>
    <phoneticPr fontId="25" type="noConversion"/>
  </si>
  <si>
    <t>限时团购</t>
    <phoneticPr fontId="25" type="noConversion"/>
  </si>
  <si>
    <t>3020204:1</t>
  </si>
  <si>
    <t>限时单笔首冲</t>
    <phoneticPr fontId="25" type="noConversion"/>
  </si>
  <si>
    <t>单次充值活动</t>
    <phoneticPr fontId="25" type="noConversion"/>
  </si>
  <si>
    <t>千万注意：对于开服累计充值时间对应的00-00-00   00-00-04为开服当日和时间便宜第三天23：59：59秒结束</t>
    <phoneticPr fontId="25" type="noConversion"/>
  </si>
  <si>
    <t>永久充值活动</t>
    <phoneticPr fontId="25" type="noConversion"/>
  </si>
  <si>
    <t>在线活动，参数：Online</t>
    <phoneticPr fontId="25" type="noConversion"/>
  </si>
  <si>
    <t>副本活动，参数：Pve</t>
    <phoneticPr fontId="25" type="noConversion"/>
  </si>
  <si>
    <t>成长计划</t>
    <phoneticPr fontId="25" type="noConversion"/>
  </si>
  <si>
    <t>公会战</t>
    <phoneticPr fontId="25" type="noConversion"/>
  </si>
  <si>
    <t>宝藏活动</t>
    <phoneticPr fontId="25" type="noConversion"/>
  </si>
  <si>
    <t>基地防守</t>
    <phoneticPr fontId="25" type="noConversion"/>
  </si>
  <si>
    <t>月卡</t>
    <phoneticPr fontId="25" type="noConversion"/>
  </si>
  <si>
    <t>永久礼包</t>
    <phoneticPr fontId="25" type="noConversion"/>
  </si>
  <si>
    <t>挑战副本活动</t>
    <phoneticPr fontId="25" type="noConversion"/>
  </si>
  <si>
    <t>登录礼包</t>
    <phoneticPr fontId="25" type="noConversion"/>
  </si>
  <si>
    <t>能量球本</t>
    <phoneticPr fontId="25" type="noConversion"/>
  </si>
  <si>
    <t>每日首充发放奖励</t>
    <phoneticPr fontId="25" type="noConversion"/>
  </si>
  <si>
    <t>恢复体力活动</t>
    <phoneticPr fontId="25" type="noConversion"/>
  </si>
  <si>
    <t>超值购买</t>
    <phoneticPr fontId="25" type="noConversion"/>
  </si>
  <si>
    <t>超值购买活动类型</t>
    <phoneticPr fontId="25" type="noConversion"/>
  </si>
  <si>
    <t>全额完成超值购买活动</t>
    <phoneticPr fontId="25" type="noConversion"/>
  </si>
  <si>
    <t>全额完成超值购买活动类型</t>
    <phoneticPr fontId="25" type="noConversion"/>
  </si>
  <si>
    <t>3090600:5</t>
  </si>
  <si>
    <t>3020206:1</t>
  </si>
  <si>
    <t>3090600:2</t>
  </si>
  <si>
    <t>3020205:1</t>
  </si>
  <si>
    <t>3090600:1</t>
  </si>
  <si>
    <t>|</t>
    <phoneticPr fontId="37" type="noConversion"/>
  </si>
  <si>
    <t>勇者大乱斗</t>
    <phoneticPr fontId="25" type="noConversion"/>
  </si>
  <si>
    <t>CZJH_01</t>
  </si>
  <si>
    <t>能量球双倍</t>
  </si>
  <si>
    <t>OpenResourcesLevelPowerWnd</t>
  </si>
  <si>
    <t>强化石双倍</t>
  </si>
  <si>
    <t>OpenResourcesLevelStrengthWnd</t>
  </si>
  <si>
    <t>;;;;;;;;;</t>
  </si>
  <si>
    <t>累计充值活动</t>
    <phoneticPr fontId="25" type="noConversion"/>
  </si>
  <si>
    <t>永久累计充值</t>
    <phoneticPr fontId="25" type="noConversion"/>
  </si>
  <si>
    <t>限时累计充值</t>
    <phoneticPr fontId="25" type="noConversion"/>
  </si>
  <si>
    <t>在线活动</t>
    <phoneticPr fontId="25" type="noConversion"/>
  </si>
  <si>
    <t>副本活动</t>
    <phoneticPr fontId="25" type="noConversion"/>
  </si>
  <si>
    <t>副本双倍</t>
    <phoneticPr fontId="25" type="noConversion"/>
  </si>
  <si>
    <t>实时竞技场</t>
    <phoneticPr fontId="25" type="noConversion"/>
  </si>
  <si>
    <t>升级活动</t>
    <phoneticPr fontId="25" type="noConversion"/>
  </si>
  <si>
    <t>等级礼包</t>
    <phoneticPr fontId="25" type="noConversion"/>
  </si>
  <si>
    <t>成长计划</t>
    <phoneticPr fontId="25" type="noConversion"/>
  </si>
  <si>
    <t>单次充值活动</t>
    <phoneticPr fontId="25" type="noConversion"/>
  </si>
  <si>
    <t>世界BOSS活动</t>
    <phoneticPr fontId="25" type="noConversion"/>
  </si>
  <si>
    <t>公会BOSS战</t>
    <phoneticPr fontId="25" type="noConversion"/>
  </si>
  <si>
    <t>宝藏类活动</t>
    <phoneticPr fontId="25" type="noConversion"/>
  </si>
  <si>
    <t>塔防活动</t>
    <phoneticPr fontId="25" type="noConversion"/>
  </si>
  <si>
    <t>签到活动</t>
    <phoneticPr fontId="25" type="noConversion"/>
  </si>
  <si>
    <t>离线PVP</t>
    <phoneticPr fontId="25" type="noConversion"/>
  </si>
  <si>
    <t>月卡活动</t>
    <phoneticPr fontId="25" type="noConversion"/>
  </si>
  <si>
    <t>月卡</t>
    <phoneticPr fontId="25" type="noConversion"/>
  </si>
  <si>
    <t>年卡</t>
    <phoneticPr fontId="25" type="noConversion"/>
  </si>
  <si>
    <t>副本挑战类活动</t>
    <phoneticPr fontId="25" type="noConversion"/>
  </si>
  <si>
    <t>PVP积分赛</t>
    <phoneticPr fontId="25" type="noConversion"/>
  </si>
  <si>
    <t>连续登陆活动</t>
    <phoneticPr fontId="25" type="noConversion"/>
  </si>
  <si>
    <t>限时抢购活动</t>
    <phoneticPr fontId="25" type="noConversion"/>
  </si>
  <si>
    <t>资源本活动</t>
    <phoneticPr fontId="25" type="noConversion"/>
  </si>
  <si>
    <t>金币本</t>
    <phoneticPr fontId="25" type="noConversion"/>
  </si>
  <si>
    <t>能量球本</t>
    <phoneticPr fontId="25" type="noConversion"/>
  </si>
  <si>
    <t>强化石本</t>
    <phoneticPr fontId="25" type="noConversion"/>
  </si>
  <si>
    <t>经验本</t>
    <phoneticPr fontId="25" type="noConversion"/>
  </si>
  <si>
    <t>经验本活动</t>
    <phoneticPr fontId="25" type="noConversion"/>
  </si>
  <si>
    <t>无尽关（爬塔）</t>
    <phoneticPr fontId="25" type="noConversion"/>
  </si>
  <si>
    <t>每日充值</t>
    <phoneticPr fontId="25" type="noConversion"/>
  </si>
  <si>
    <t>完成指定副本</t>
    <phoneticPr fontId="25" type="noConversion"/>
  </si>
  <si>
    <t>定时恢复体力</t>
    <phoneticPr fontId="25" type="noConversion"/>
  </si>
  <si>
    <t>购买指定充值产品</t>
    <phoneticPr fontId="25" type="noConversion"/>
  </si>
  <si>
    <t>礼包码领取礼包</t>
    <phoneticPr fontId="25" type="noConversion"/>
  </si>
  <si>
    <t>新的登录活动</t>
    <phoneticPr fontId="25" type="noConversion"/>
  </si>
  <si>
    <t>宝箱积分活动奖励</t>
    <phoneticPr fontId="25" type="noConversion"/>
  </si>
  <si>
    <t>宝箱积分排行榜活动</t>
    <phoneticPr fontId="25" type="noConversion"/>
  </si>
  <si>
    <t>无尽积分副本活动</t>
    <phoneticPr fontId="25" type="noConversion"/>
  </si>
  <si>
    <t>幸运转盘</t>
    <phoneticPr fontId="25" type="noConversion"/>
  </si>
  <si>
    <t>团购</t>
    <phoneticPr fontId="25" type="noConversion"/>
  </si>
  <si>
    <t>团购奖励</t>
    <phoneticPr fontId="25" type="noConversion"/>
  </si>
  <si>
    <t>超值购买</t>
    <phoneticPr fontId="25" type="noConversion"/>
  </si>
  <si>
    <t>完成超值购买</t>
    <phoneticPr fontId="25" type="noConversion"/>
  </si>
  <si>
    <t>乱斗PVP</t>
    <phoneticPr fontId="25" type="noConversion"/>
  </si>
  <si>
    <t>钻石消费</t>
    <phoneticPr fontId="25" type="noConversion"/>
  </si>
  <si>
    <t>00-00-00</t>
  </si>
  <si>
    <t>00-00-04</t>
  </si>
  <si>
    <t>1</t>
  </si>
  <si>
    <t>00-00-08</t>
  </si>
  <si>
    <t>圣诞守卫</t>
    <phoneticPr fontId="25" type="noConversion"/>
  </si>
  <si>
    <t>圣诞BOSS</t>
    <phoneticPr fontId="25" type="noConversion"/>
  </si>
  <si>
    <t>Value1:购买次数、Value2：购买单价</t>
    <phoneticPr fontId="25" type="noConversion"/>
  </si>
  <si>
    <t>装备大比拼</t>
    <phoneticPr fontId="25" type="noConversion"/>
  </si>
  <si>
    <t>139001</t>
    <phoneticPr fontId="25" type="noConversion"/>
  </si>
  <si>
    <t>139002</t>
  </si>
  <si>
    <t>139003</t>
  </si>
  <si>
    <t>139004</t>
  </si>
  <si>
    <t>139005</t>
  </si>
  <si>
    <t>139006</t>
  </si>
  <si>
    <t>139007</t>
  </si>
  <si>
    <t>武器战力大比拼</t>
    <phoneticPr fontId="25" type="noConversion"/>
  </si>
  <si>
    <t>战力大比拼</t>
    <phoneticPr fontId="25" type="noConversion"/>
  </si>
  <si>
    <t>晶片战力大比拼</t>
    <phoneticPr fontId="25" type="noConversion"/>
  </si>
  <si>
    <t>宝石战力大比拼</t>
    <phoneticPr fontId="25" type="noConversion"/>
  </si>
  <si>
    <t>宠物战力大比拼</t>
    <phoneticPr fontId="25" type="noConversion"/>
  </si>
  <si>
    <t>总战力大比拼</t>
    <phoneticPr fontId="25" type="noConversion"/>
  </si>
  <si>
    <t>[fff601]第二天武器战力大比拼[-]</t>
    <phoneticPr fontId="25" type="noConversion"/>
  </si>
  <si>
    <t>[fff600]第一天装备总战力大比拼[-]</t>
    <phoneticPr fontId="25" type="noConversion"/>
  </si>
  <si>
    <t>[fff602]第三天总站力大比拼[-]</t>
    <phoneticPr fontId="25" type="noConversion"/>
  </si>
  <si>
    <t>[fff603]第四天晶片战力大比拼[-]</t>
    <phoneticPr fontId="25" type="noConversion"/>
  </si>
  <si>
    <t>[fff604]第五天宝石战力大比拼[-]</t>
    <phoneticPr fontId="25" type="noConversion"/>
  </si>
  <si>
    <t>[fff605]第六天宠物总战力大比拼[-]</t>
    <phoneticPr fontId="25" type="noConversion"/>
  </si>
  <si>
    <t>[fff606]第七天总战力大比拼[-]</t>
    <phoneticPr fontId="25" type="noConversion"/>
  </si>
  <si>
    <t>00-00-01</t>
    <phoneticPr fontId="25" type="noConversion"/>
  </si>
  <si>
    <t>00-00-02</t>
  </si>
  <si>
    <t>00-00-03</t>
  </si>
  <si>
    <t>00-00-05</t>
  </si>
  <si>
    <t>00-00-06</t>
  </si>
  <si>
    <t>00-00-07</t>
  </si>
  <si>
    <t>00-00-02</t>
    <phoneticPr fontId="25" type="noConversion"/>
  </si>
  <si>
    <t>招财进宝</t>
    <phoneticPr fontId="25" type="noConversion"/>
  </si>
  <si>
    <t>体力特惠礼包</t>
    <phoneticPr fontId="25" type="noConversion"/>
  </si>
  <si>
    <t>战力特惠礼包</t>
    <phoneticPr fontId="25" type="noConversion"/>
  </si>
  <si>
    <t>value1：当天消耗体力数量  value2：礼包持续时间</t>
    <phoneticPr fontId="25" type="noConversion"/>
  </si>
  <si>
    <t>value1：低于副本需求战力% 千分比表示  value2：礼包持续时间</t>
    <phoneticPr fontId="25" type="noConversion"/>
  </si>
  <si>
    <t>value1：活动触发开启时间</t>
    <phoneticPr fontId="25" type="noConversion"/>
  </si>
  <si>
    <t>2024-05-01</t>
  </si>
  <si>
    <t>星际爬塔</t>
  </si>
  <si>
    <t>2014-05-01</t>
  </si>
  <si>
    <t>4050013:2|4050014:2|3120100:5</t>
  </si>
  <si>
    <t>4011100:10|4013100:10|4015100:10|4016100:10|3120100:10</t>
  </si>
  <si>
    <t>4011200:10|4013200:10|4015200:10|4016200:10|3160100:100|3160200:10</t>
  </si>
  <si>
    <t>4011400:10|4013400:10|4015400:10|4016400:10|2050003:1|3160100:300</t>
  </si>
  <si>
    <t>4011500:10|4013500:10|4015500:10|4016500:10|2040003:1|3160200:20</t>
  </si>
  <si>
    <t>1081701:1|1083701:1|1085701:1|1086701:1</t>
  </si>
  <si>
    <t>3170000:8|3090200:1000|3160100:1000</t>
  </si>
  <si>
    <t>3170000:1|3090200:200|3020200:15</t>
    <phoneticPr fontId="25" type="noConversion"/>
  </si>
  <si>
    <t>3020200:15|6020002:1|6080000:30</t>
    <phoneticPr fontId="25" type="noConversion"/>
  </si>
  <si>
    <t>3020201:15|6040002:1|6080000:30</t>
    <phoneticPr fontId="25" type="noConversion"/>
  </si>
  <si>
    <t>3020201:15|6030003:1|6080000:30</t>
    <phoneticPr fontId="25" type="noConversion"/>
  </si>
  <si>
    <t>3020202:15|6060003:1|6080000:30</t>
    <phoneticPr fontId="25" type="noConversion"/>
  </si>
  <si>
    <t>3020203:15|6020004:1|6080000:30</t>
    <phoneticPr fontId="25" type="noConversion"/>
  </si>
  <si>
    <t>3020204:15|6040004:1|6080000:30</t>
    <phoneticPr fontId="25" type="noConversion"/>
  </si>
  <si>
    <r>
      <t>:</t>
    </r>
    <r>
      <rPr>
        <sz val="11"/>
        <color indexed="8"/>
        <rFont val="宋体"/>
        <family val="3"/>
        <charset val="134"/>
      </rPr>
      <t>1|</t>
    </r>
    <phoneticPr fontId="37" type="noConversion"/>
  </si>
  <si>
    <t>活动奖励描述</t>
    <phoneticPr fontId="25" type="noConversion"/>
  </si>
  <si>
    <t>起始日期</t>
    <phoneticPr fontId="25" type="noConversion"/>
  </si>
  <si>
    <t>前端开始时间</t>
    <phoneticPr fontId="25" type="noConversion"/>
  </si>
  <si>
    <t>结束日期</t>
    <phoneticPr fontId="25" type="noConversion"/>
  </si>
  <si>
    <t>前端结束时间</t>
    <phoneticPr fontId="25" type="noConversion"/>
  </si>
  <si>
    <t>日期类型</t>
    <phoneticPr fontId="25" type="noConversion"/>
  </si>
  <si>
    <t>活动开启前置任务ID</t>
    <phoneticPr fontId="25" type="noConversion"/>
  </si>
  <si>
    <t>VIP等级限制</t>
    <phoneticPr fontId="25" type="noConversion"/>
  </si>
  <si>
    <t>间隔CD</t>
    <phoneticPr fontId="25" type="noConversion"/>
  </si>
  <si>
    <t>奖励</t>
    <phoneticPr fontId="25" type="noConversion"/>
  </si>
  <si>
    <t>条件值1</t>
    <phoneticPr fontId="25" type="noConversion"/>
  </si>
  <si>
    <t>条件值2</t>
    <phoneticPr fontId="25" type="noConversion"/>
  </si>
  <si>
    <t>FrontStartDate</t>
    <phoneticPr fontId="25" type="noConversion"/>
  </si>
  <si>
    <t>FrontStopDate</t>
    <phoneticPr fontId="25" type="noConversion"/>
  </si>
  <si>
    <t>DateType</t>
    <phoneticPr fontId="25" type="noConversion"/>
  </si>
  <si>
    <t>QuestId</t>
    <phoneticPr fontId="25" type="noConversion"/>
  </si>
  <si>
    <t>Vip</t>
    <phoneticPr fontId="25" type="noConversion"/>
  </si>
  <si>
    <t>CoolDown</t>
    <phoneticPr fontId="25" type="noConversion"/>
  </si>
  <si>
    <t>Reward</t>
    <phoneticPr fontId="25" type="noConversion"/>
  </si>
  <si>
    <t>Value1</t>
    <phoneticPr fontId="25" type="noConversion"/>
  </si>
  <si>
    <t>Value2</t>
    <phoneticPr fontId="25" type="noConversion"/>
  </si>
  <si>
    <t>商店表ID</t>
    <phoneticPr fontId="25" type="noConversion"/>
  </si>
  <si>
    <t>对应天数</t>
    <phoneticPr fontId="25" type="noConversion"/>
  </si>
  <si>
    <t>对应积分</t>
    <phoneticPr fontId="25" type="noConversion"/>
  </si>
  <si>
    <t>对应人数</t>
    <phoneticPr fontId="25" type="noConversion"/>
  </si>
  <si>
    <t>对应道具</t>
    <phoneticPr fontId="25" type="noConversion"/>
  </si>
  <si>
    <t>无尽积分对应层数</t>
    <phoneticPr fontId="25" type="noConversion"/>
  </si>
  <si>
    <t>达成检测活动条件</t>
    <phoneticPr fontId="25" type="noConversion"/>
  </si>
  <si>
    <t>完成超值购买获得奖励积分</t>
    <phoneticPr fontId="25" type="noConversion"/>
  </si>
  <si>
    <t>达成以上全部完成获得积分条件</t>
    <phoneticPr fontId="25" type="noConversion"/>
  </si>
  <si>
    <t>达到积分可上榜机甲嘉年华</t>
    <phoneticPr fontId="25" type="noConversion"/>
  </si>
  <si>
    <t>金币</t>
    <phoneticPr fontId="41" type="noConversion"/>
  </si>
  <si>
    <t>钻石</t>
    <phoneticPr fontId="41" type="noConversion"/>
  </si>
  <si>
    <t>体力</t>
    <phoneticPr fontId="41" type="noConversion"/>
  </si>
  <si>
    <t>经验</t>
    <phoneticPr fontId="41" type="noConversion"/>
  </si>
  <si>
    <t>公会个人贡献</t>
    <phoneticPr fontId="41" type="noConversion"/>
  </si>
  <si>
    <t>日常任务积分</t>
    <phoneticPr fontId="41" type="noConversion"/>
  </si>
  <si>
    <t>分割符</t>
    <phoneticPr fontId="25" type="noConversion"/>
  </si>
  <si>
    <t>奖励表ID</t>
    <phoneticPr fontId="25" type="noConversion"/>
  </si>
  <si>
    <t>101001</t>
    <phoneticPr fontId="25" type="noConversion"/>
  </si>
  <si>
    <t>强者之路</t>
    <phoneticPr fontId="25" type="noConversion"/>
  </si>
  <si>
    <t>W_qiangzhe_001</t>
  </si>
  <si>
    <t>2024-05-01</t>
    <phoneticPr fontId="25" type="noConversion"/>
  </si>
  <si>
    <t>1-99</t>
    <phoneticPr fontId="25" type="noConversion"/>
  </si>
  <si>
    <t>1081011:1|1083011:1|1085011:1|1086011:1</t>
  </si>
  <si>
    <t>;</t>
    <phoneticPr fontId="25" type="noConversion"/>
  </si>
  <si>
    <t>[fff600]{0}[70e6ff]{1}[-]钻即可获得【稀有守护】蓝翼神龙[-]</t>
    <phoneticPr fontId="25" type="noConversion"/>
  </si>
  <si>
    <t>1131500:1</t>
    <phoneticPr fontId="25" type="noConversion"/>
  </si>
  <si>
    <t>[fff600]{0}[70e6ff]{1}[-]钻即可获得【稀有时装】</t>
    <phoneticPr fontId="25" type="noConversion"/>
  </si>
  <si>
    <t>1091402:1|1092402:1|1093402:1|1094402:1|1095402:1|1096402:1</t>
    <phoneticPr fontId="25" type="noConversion"/>
  </si>
  <si>
    <t>[fff600]{0}[70e6ff]{1}[-]钻即可获得【稀有翅膀】神圣之翼[-]</t>
    <phoneticPr fontId="25" type="noConversion"/>
  </si>
  <si>
    <t>[fff600]{0}[70e6ff]{1}[-]钻即可获得【珍奇时装】</t>
    <phoneticPr fontId="25" type="noConversion"/>
  </si>
  <si>
    <t>[fff600]{0}[70e6ff]{1}[-]钻即可获得【稀有宠物】岩灵·法师[-]</t>
    <phoneticPr fontId="25" type="noConversion"/>
  </si>
  <si>
    <t>[fff600]{0}[70e6ff]{1}[-]钻即可获得奖励【稀有翅膀】水晶棱翼[-]</t>
    <phoneticPr fontId="25" type="noConversion"/>
  </si>
  <si>
    <t>101201</t>
  </si>
  <si>
    <t>开服累计充值</t>
  </si>
  <si>
    <t>[fff600]活动期间玩家累计充值将会获得丰厚奖励[-]</t>
  </si>
  <si>
    <t>累计充值360钻即可获得奖励</t>
  </si>
  <si>
    <t>3170000:1|2040003:1|2050003:1</t>
  </si>
  <si>
    <t>;</t>
  </si>
  <si>
    <t>101202</t>
  </si>
  <si>
    <t>累计充值1280钻即可获得奖励</t>
  </si>
  <si>
    <t>4040007:20|3090200:300|3160100:200</t>
  </si>
  <si>
    <t>101203</t>
  </si>
  <si>
    <t>累计充值3280钻即可获得奖励</t>
  </si>
  <si>
    <t>4010000:30|3170000:2|3120100:20</t>
  </si>
  <si>
    <t>101204</t>
  </si>
  <si>
    <t>累计充值12960钻即可获得奖励</t>
  </si>
  <si>
    <t>4040009:20|3090200:300|3120100:30</t>
  </si>
  <si>
    <t>101205</t>
  </si>
  <si>
    <t>累计充值30000钻即可获得奖励</t>
  </si>
  <si>
    <t>1081801:1|1083801:1|1085801:1|1086801:1|3160100:500|3020205:1</t>
  </si>
  <si>
    <t>101206</t>
  </si>
  <si>
    <t>累计充值50000钻即可获得奖励</t>
  </si>
  <si>
    <t>1101502:1|1102502:1|1103502:1|1104502:1|1105502:1|1106502:1|3160100:800|3020206:1</t>
  </si>
  <si>
    <t>101207</t>
  </si>
  <si>
    <t>101208</t>
  </si>
  <si>
    <t>101209</t>
  </si>
  <si>
    <t>101210</t>
  </si>
  <si>
    <t>101211</t>
  </si>
  <si>
    <t>1081901:1|1083901:1|1085901:1|1086901:1|3160100:500|3020205:1</t>
  </si>
  <si>
    <t>101212</t>
  </si>
  <si>
    <t>1131502:1|3160100:800|3020206:1</t>
  </si>
  <si>
    <t>102001</t>
    <phoneticPr fontId="25" type="noConversion"/>
  </si>
  <si>
    <t>累充好礼</t>
    <phoneticPr fontId="25" type="noConversion"/>
  </si>
  <si>
    <t>[fff601]活动期间玩家累计充值将会获得丰厚奖励[-]</t>
    <phoneticPr fontId="25" type="noConversion"/>
  </si>
  <si>
    <t>CZJH_06</t>
    <phoneticPr fontId="25" type="noConversion"/>
  </si>
  <si>
    <t>[fff602]活动期间玩家累计充值将会获得丰厚奖励[-]</t>
  </si>
  <si>
    <t>[fff603]活动期间玩家累计充值将会获得丰厚奖励[-]</t>
  </si>
  <si>
    <t>[fff604]活动期间玩家累计充值将会获得丰厚奖励[-]</t>
  </si>
  <si>
    <t>[fff605]活动期间玩家累计充值将会获得丰厚奖励[-]</t>
  </si>
  <si>
    <t>[fff606]活动期间玩家累计充值将会获得丰厚奖励[-]</t>
  </si>
  <si>
    <t>金币双倍</t>
  </si>
  <si>
    <t>[fff600]奇遇-金币矿洞[-]限时双倍，挑战者在活动期间完成副本就可以获得双倍掉落哦，赶快来参加吧。</t>
    <phoneticPr fontId="25" type="noConversion"/>
  </si>
  <si>
    <t>2016-06-04</t>
    <phoneticPr fontId="25" type="noConversion"/>
  </si>
  <si>
    <t>5400|5401|5402</t>
  </si>
  <si>
    <t>[fff600]奇遇-能量球矿洞[-]限时双倍，挑战者在活动期间完成副本就可以获得双倍掉落哦，赶快来参加吧。</t>
    <phoneticPr fontId="25" type="noConversion"/>
  </si>
  <si>
    <t>5404|5405|5406</t>
  </si>
  <si>
    <t>[fff600]奇遇-强化石矿洞[-]限时双倍，挑战者在活动期间完成副本就可以获得双倍掉落哦，赶快来参加吧。</t>
    <phoneticPr fontId="25" type="noConversion"/>
  </si>
  <si>
    <t>5408|5409|5410</t>
  </si>
  <si>
    <t>大乱斗双倍</t>
    <phoneticPr fontId="25" type="noConversion"/>
  </si>
  <si>
    <t>12:00:00</t>
    <phoneticPr fontId="25" type="noConversion"/>
  </si>
  <si>
    <t>13:00:00</t>
    <phoneticPr fontId="25" type="noConversion"/>
  </si>
  <si>
    <t>21:00:00</t>
    <phoneticPr fontId="25" type="noConversion"/>
  </si>
  <si>
    <t>22:00:00</t>
    <phoneticPr fontId="25" type="noConversion"/>
  </si>
  <si>
    <t>英雄擂台</t>
    <phoneticPr fontId="25" type="noConversion"/>
  </si>
  <si>
    <t>M_zhiyetouxiang1</t>
    <phoneticPr fontId="25" type="noConversion"/>
  </si>
  <si>
    <t>2014-05-01</t>
    <phoneticPr fontId="25" type="noConversion"/>
  </si>
  <si>
    <t>10-99</t>
    <phoneticPr fontId="25" type="noConversion"/>
  </si>
  <si>
    <t>15-99</t>
    <phoneticPr fontId="25" type="noConversion"/>
  </si>
  <si>
    <t>20-99</t>
    <phoneticPr fontId="25" type="noConversion"/>
  </si>
  <si>
    <t>25-99</t>
    <phoneticPr fontId="25" type="noConversion"/>
  </si>
  <si>
    <t>30-99</t>
    <phoneticPr fontId="25" type="noConversion"/>
  </si>
  <si>
    <t>4011300:10|4013300:10|4015300:10|4016300:10|3090200:200</t>
    <phoneticPr fontId="25" type="noConversion"/>
  </si>
  <si>
    <t>40-99</t>
    <phoneticPr fontId="25" type="noConversion"/>
  </si>
  <si>
    <t>50-99</t>
    <phoneticPr fontId="25" type="noConversion"/>
  </si>
  <si>
    <t>60-99</t>
    <phoneticPr fontId="25" type="noConversion"/>
  </si>
  <si>
    <t>4011600:10|4013600:10|4015600:10|4016600:10|2020003:1|3120100:20</t>
  </si>
  <si>
    <t>等级达到70级</t>
    <phoneticPr fontId="25" type="noConversion"/>
  </si>
  <si>
    <t>70-99</t>
    <phoneticPr fontId="25" type="noConversion"/>
  </si>
  <si>
    <t>105100</t>
    <phoneticPr fontId="25" type="noConversion"/>
  </si>
  <si>
    <t>15级成长礼包</t>
    <phoneticPr fontId="25" type="noConversion"/>
  </si>
  <si>
    <t>等级达到15级</t>
    <phoneticPr fontId="25" type="noConversion"/>
  </si>
  <si>
    <t>[fff600]成长计划一直伴随着各位小伙伴的英雄之路，从现在开始，只要购买成长计划，总计可返还[70e6ff]5288[-]钻石！！！[-]</t>
    <phoneticPr fontId="25" type="noConversion"/>
  </si>
  <si>
    <t>20级成长礼包</t>
    <phoneticPr fontId="25" type="noConversion"/>
  </si>
  <si>
    <t>等级达到20级</t>
    <phoneticPr fontId="25" type="noConversion"/>
  </si>
  <si>
    <t>25级成长礼包</t>
    <phoneticPr fontId="25" type="noConversion"/>
  </si>
  <si>
    <t>等级达到25级</t>
    <phoneticPr fontId="25" type="noConversion"/>
  </si>
  <si>
    <t>30级成长礼包</t>
    <phoneticPr fontId="25" type="noConversion"/>
  </si>
  <si>
    <t>等级达到30级</t>
    <phoneticPr fontId="25" type="noConversion"/>
  </si>
  <si>
    <t>35级成长礼包</t>
    <phoneticPr fontId="25" type="noConversion"/>
  </si>
  <si>
    <t>等级达到35级</t>
    <phoneticPr fontId="25" type="noConversion"/>
  </si>
  <si>
    <t>35-99</t>
    <phoneticPr fontId="25" type="noConversion"/>
  </si>
  <si>
    <t>40级成长礼包</t>
    <phoneticPr fontId="25" type="noConversion"/>
  </si>
  <si>
    <t>等级达到40级</t>
    <phoneticPr fontId="25" type="noConversion"/>
  </si>
  <si>
    <t>45级成长礼包</t>
    <phoneticPr fontId="25" type="noConversion"/>
  </si>
  <si>
    <t>等级达到45级</t>
    <phoneticPr fontId="25" type="noConversion"/>
  </si>
  <si>
    <t>45-99</t>
    <phoneticPr fontId="25" type="noConversion"/>
  </si>
  <si>
    <t>50级成长礼包</t>
    <phoneticPr fontId="25" type="noConversion"/>
  </si>
  <si>
    <t>55级成长礼包</t>
    <phoneticPr fontId="25" type="noConversion"/>
  </si>
  <si>
    <t>等级达到55级</t>
    <phoneticPr fontId="25" type="noConversion"/>
  </si>
  <si>
    <t>55-99</t>
    <phoneticPr fontId="25" type="noConversion"/>
  </si>
  <si>
    <t>60级成长礼包</t>
    <phoneticPr fontId="25" type="noConversion"/>
  </si>
  <si>
    <t>等级达到60级</t>
    <phoneticPr fontId="25" type="noConversion"/>
  </si>
  <si>
    <t>世界BOSS</t>
    <phoneticPr fontId="25" type="noConversion"/>
  </si>
  <si>
    <t>12:30:00</t>
    <phoneticPr fontId="25" type="noConversion"/>
  </si>
  <si>
    <t>12:00-12:30</t>
    <phoneticPr fontId="25" type="noConversion"/>
  </si>
  <si>
    <t>世界BOSS活动已经开启，大家快来挑战世界BOSS</t>
    <phoneticPr fontId="25" type="noConversion"/>
  </si>
  <si>
    <t>21:30:00</t>
    <phoneticPr fontId="25" type="noConversion"/>
  </si>
  <si>
    <t>21:00-21:30</t>
    <phoneticPr fontId="25" type="noConversion"/>
  </si>
  <si>
    <t>公会试炼</t>
    <phoneticPr fontId="25" type="noConversion"/>
  </si>
  <si>
    <t>2015-05-01</t>
    <phoneticPr fontId="25" type="noConversion"/>
  </si>
  <si>
    <t>2025-12-02</t>
    <phoneticPr fontId="25" type="noConversion"/>
  </si>
  <si>
    <t>23:00:00</t>
    <phoneticPr fontId="25" type="noConversion"/>
  </si>
  <si>
    <t>星际采矿</t>
    <phoneticPr fontId="25" type="noConversion"/>
  </si>
  <si>
    <t>基地防守</t>
    <phoneticPr fontId="25" type="noConversion"/>
  </si>
  <si>
    <t>5111|5112|5113|5121|5122|5123|5131|5132|5133|5141|5142|5143|5151|5152|5153|5161|5162|5163</t>
    <phoneticPr fontId="25" type="noConversion"/>
  </si>
  <si>
    <t>机甲竞技场</t>
    <phoneticPr fontId="25" type="noConversion"/>
  </si>
  <si>
    <t>gem_7</t>
  </si>
  <si>
    <t>组队本</t>
    <phoneticPr fontId="25" type="noConversion"/>
  </si>
  <si>
    <t>5200|5201|5202|5203|5204|5205</t>
    <phoneticPr fontId="25" type="noConversion"/>
  </si>
  <si>
    <t>登录礼包</t>
    <phoneticPr fontId="25" type="noConversion"/>
  </si>
  <si>
    <t>累计登录满15天更可获得丰厚大奖。</t>
    <phoneticPr fontId="25" type="noConversion"/>
  </si>
  <si>
    <t>2015-06-23</t>
    <phoneticPr fontId="25" type="noConversion"/>
  </si>
  <si>
    <t>3160100:300</t>
  </si>
  <si>
    <t>金币矿洞</t>
    <phoneticPr fontId="25" type="noConversion"/>
  </si>
  <si>
    <t>W_icon1</t>
    <phoneticPr fontId="25" type="noConversion"/>
  </si>
  <si>
    <t>5400|5401|5402</t>
    <phoneticPr fontId="25" type="noConversion"/>
  </si>
  <si>
    <t>118002</t>
    <phoneticPr fontId="25" type="noConversion"/>
  </si>
  <si>
    <t>能量球矿洞</t>
    <phoneticPr fontId="25" type="noConversion"/>
  </si>
  <si>
    <t>item_partner_002</t>
    <phoneticPr fontId="25" type="noConversion"/>
  </si>
  <si>
    <t>5404|5405|5406</t>
    <phoneticPr fontId="25" type="noConversion"/>
  </si>
  <si>
    <t>118004</t>
    <phoneticPr fontId="25" type="noConversion"/>
  </si>
  <si>
    <t>强化石矿洞</t>
    <phoneticPr fontId="25" type="noConversion"/>
  </si>
  <si>
    <t>item_qianghua_001</t>
    <phoneticPr fontId="25" type="noConversion"/>
  </si>
  <si>
    <t>5408|5409|5410</t>
    <phoneticPr fontId="25" type="noConversion"/>
  </si>
  <si>
    <t>118003</t>
    <phoneticPr fontId="25" type="noConversion"/>
  </si>
  <si>
    <t>经验矿洞</t>
    <phoneticPr fontId="25" type="noConversion"/>
  </si>
  <si>
    <t>exp01</t>
    <phoneticPr fontId="25" type="noConversion"/>
  </si>
  <si>
    <t>5500|5501|5502</t>
    <phoneticPr fontId="25" type="noConversion"/>
  </si>
  <si>
    <t>119002</t>
    <phoneticPr fontId="25" type="noConversion"/>
  </si>
  <si>
    <t>圣诞守卫</t>
    <phoneticPr fontId="25" type="noConversion"/>
  </si>
  <si>
    <t>抵御进攻，获得活动道具</t>
    <phoneticPr fontId="25" type="noConversion"/>
  </si>
  <si>
    <t>SDHD02</t>
    <phoneticPr fontId="25" type="noConversion"/>
  </si>
  <si>
    <t>2015-12-23</t>
    <phoneticPr fontId="25" type="noConversion"/>
  </si>
  <si>
    <t>119003</t>
    <phoneticPr fontId="25" type="noConversion"/>
  </si>
  <si>
    <t>圣诞BOSS</t>
    <phoneticPr fontId="25" type="noConversion"/>
  </si>
  <si>
    <t>击败BOSS，获得大量活动道具</t>
    <phoneticPr fontId="25" type="noConversion"/>
  </si>
  <si>
    <t>SDHD01</t>
    <phoneticPr fontId="25" type="noConversion"/>
  </si>
  <si>
    <t>5611|5612|5613|5614|5615|5616|5617|5618|5619|5620|5621|5622|5623|5624|5625|5626|5627|5628|5629|5630|5631|5632|5633|5634|5635|5636|5637|5638|5639|5640|5641|5642|5643|5644|5645|5646|5647|5648|5649|5650|5651|5652|5653|5654|5655|5656|5657|5658</t>
    <phoneticPr fontId="25" type="noConversion"/>
  </si>
  <si>
    <t>121005</t>
    <phoneticPr fontId="25" type="noConversion"/>
  </si>
  <si>
    <t>[fff600]每天充值[70e6ff]任意金额[-]即可获得如下奖励：[-]</t>
    <phoneticPr fontId="25" type="noConversion"/>
  </si>
  <si>
    <t>CZJH_05</t>
    <phoneticPr fontId="25" type="noConversion"/>
  </si>
  <si>
    <t>121007</t>
    <phoneticPr fontId="25" type="noConversion"/>
  </si>
  <si>
    <t>121008</t>
    <phoneticPr fontId="25" type="noConversion"/>
  </si>
  <si>
    <t>体力恢复</t>
    <phoneticPr fontId="25" type="noConversion"/>
  </si>
  <si>
    <t>中午12点-14点和下午18点-20点均可吃大餐补充体力
[5fe538]VIP3可每日早上7点-10点额外领取一次[-]</t>
    <phoneticPr fontId="25" type="noConversion"/>
  </si>
  <si>
    <t>领取50点体力</t>
    <phoneticPr fontId="25" type="noConversion"/>
  </si>
  <si>
    <t>14:00:00</t>
    <phoneticPr fontId="25" type="noConversion"/>
  </si>
  <si>
    <t>18:00:00</t>
    <phoneticPr fontId="25" type="noConversion"/>
  </si>
  <si>
    <t>20:00:00</t>
    <phoneticPr fontId="25" type="noConversion"/>
  </si>
  <si>
    <t>18点到20点</t>
    <phoneticPr fontId="25" type="noConversion"/>
  </si>
  <si>
    <t>07:00:00</t>
    <phoneticPr fontId="25" type="noConversion"/>
  </si>
  <si>
    <t>10:00:00</t>
    <phoneticPr fontId="25" type="noConversion"/>
  </si>
  <si>
    <t>7点到9点</t>
    <phoneticPr fontId="25" type="noConversion"/>
  </si>
  <si>
    <t>3-15</t>
    <phoneticPr fontId="25" type="noConversion"/>
  </si>
  <si>
    <t>另赠送6480钻石[28ff28]（限赠1次）[-]充值后立即获得</t>
    <phoneticPr fontId="25" type="noConversion"/>
  </si>
  <si>
    <t>CZJH_03</t>
    <phoneticPr fontId="25" type="noConversion"/>
  </si>
  <si>
    <t>124007</t>
  </si>
  <si>
    <t>另赠送1980钻石[28ff28]（限赠1次）[-]充值后立即获得</t>
    <phoneticPr fontId="25" type="noConversion"/>
  </si>
  <si>
    <t>124008</t>
  </si>
  <si>
    <t>124009</t>
  </si>
  <si>
    <t>另赠送3280钻石[28ff28]（限赠1次）[-]充值后立即获得</t>
    <phoneticPr fontId="25" type="noConversion"/>
  </si>
  <si>
    <t>124010</t>
  </si>
  <si>
    <t>另赠送980钻石[28ff28]（限赠1次）[-]充值后立即获得</t>
    <phoneticPr fontId="25" type="noConversion"/>
  </si>
  <si>
    <t>7</t>
  </si>
  <si>
    <t>单笔充值6480钻</t>
    <phoneticPr fontId="25" type="noConversion"/>
  </si>
  <si>
    <t>[fff600]单笔充值可获得丰厚奖励哦</t>
    <phoneticPr fontId="25" type="noConversion"/>
  </si>
  <si>
    <t>124202</t>
  </si>
  <si>
    <t>单笔充值3280钻</t>
    <phoneticPr fontId="25" type="noConversion"/>
  </si>
  <si>
    <t>124203</t>
  </si>
  <si>
    <t>单笔充值1980钻</t>
    <phoneticPr fontId="25" type="noConversion"/>
  </si>
  <si>
    <t>星爵礼包</t>
    <phoneticPr fontId="25" type="noConversion"/>
  </si>
  <si>
    <t>http://192.168.1.2/imagehost1.6.6/image.php?di=V2V6</t>
  </si>
  <si>
    <t>2015-09-21</t>
  </si>
  <si>
    <t>http://192.168.1.2/imagehost1.6.6/image.php?di=V2V6</t>
    <phoneticPr fontId="25" type="noConversion"/>
  </si>
  <si>
    <t>124303</t>
    <phoneticPr fontId="25" type="noConversion"/>
  </si>
  <si>
    <t>体力特惠礼包</t>
    <phoneticPr fontId="25" type="noConversion"/>
  </si>
  <si>
    <t>141101</t>
    <phoneticPr fontId="25" type="noConversion"/>
  </si>
  <si>
    <t>124304</t>
    <phoneticPr fontId="25" type="noConversion"/>
  </si>
  <si>
    <t>战力特惠礼包</t>
    <phoneticPr fontId="25" type="noConversion"/>
  </si>
  <si>
    <t>3020233:2|3020234:2|3150024:1</t>
    <phoneticPr fontId="25" type="noConversion"/>
  </si>
  <si>
    <t>限时首充</t>
    <phoneticPr fontId="25" type="noConversion"/>
  </si>
  <si>
    <t>Xianshishouchong</t>
  </si>
  <si>
    <t>124405</t>
    <phoneticPr fontId="25" type="noConversion"/>
  </si>
  <si>
    <t>124404</t>
  </si>
  <si>
    <t>106004</t>
    <phoneticPr fontId="25" type="noConversion"/>
  </si>
  <si>
    <t>1131500:1|1081011:1|1083011:1|1085011:1|1086011:1</t>
  </si>
  <si>
    <t>1091402:1|1092402:1|1093402:1|1094402:1|1095402:1|1096402:1|1131500:1|1081011:1|1083011:1|1085011:1|1086011:1</t>
  </si>
  <si>
    <t>124406</t>
  </si>
  <si>
    <t>1101501:1|1102501:1|1103501:1|1104501:1|1105501:1|1106501:1|1091402:1|1092402:1|1093402:1|1094402:1|1095402:1|1096402:1|1131500:1|1081011:1|1083011:1|1085011:1|1086011:1</t>
  </si>
  <si>
    <t>125001</t>
  </si>
  <si>
    <t>每次充值返还</t>
    <phoneticPr fontId="25" type="noConversion"/>
  </si>
  <si>
    <t>125002</t>
  </si>
  <si>
    <t>125003</t>
  </si>
  <si>
    <t>另赠送[28ff28]80[-]钻石</t>
    <phoneticPr fontId="25" type="noConversion"/>
  </si>
  <si>
    <t>125004</t>
  </si>
  <si>
    <t>另赠送[28ff28]380[-]钻石</t>
    <phoneticPr fontId="25" type="noConversion"/>
  </si>
  <si>
    <t>125005</t>
  </si>
  <si>
    <t>另赠送[28ff28]15[-]钻石</t>
    <phoneticPr fontId="25" type="noConversion"/>
  </si>
  <si>
    <t>125006</t>
  </si>
  <si>
    <t>0</t>
    <phoneticPr fontId="25" type="noConversion"/>
  </si>
  <si>
    <t>125007</t>
    <phoneticPr fontId="25" type="noConversion"/>
  </si>
  <si>
    <t>永久卡奖励赠送[28ff28]80[-]钻石</t>
    <phoneticPr fontId="25" type="noConversion"/>
  </si>
  <si>
    <t>124601</t>
    <phoneticPr fontId="25" type="noConversion"/>
  </si>
  <si>
    <t>圣诞武器礼包</t>
    <phoneticPr fontId="25" type="noConversion"/>
  </si>
  <si>
    <t>4011901:25|4013901:25|4015901:25|4016901:25|3150024:1</t>
    <phoneticPr fontId="25" type="noConversion"/>
  </si>
  <si>
    <t>124602</t>
  </si>
  <si>
    <t>圣诞雪翼礼包</t>
    <phoneticPr fontId="25" type="noConversion"/>
  </si>
  <si>
    <t>1101507:1|1102507:1|1103507:1|1104507:1|1105507:1|1106507:1|4060043:10|4060044:10|4060045:10|4060046:10|4060047:10|4060048:10|4011901:30|4013901:30|4015901:30|4016901:30|3150027:1</t>
    <phoneticPr fontId="25" type="noConversion"/>
  </si>
  <si>
    <t>124603</t>
  </si>
  <si>
    <t>守护雪娃礼包</t>
    <phoneticPr fontId="25" type="noConversion"/>
  </si>
  <si>
    <t>1131506:1|3150025:1</t>
    <phoneticPr fontId="25" type="noConversion"/>
  </si>
  <si>
    <t>124604</t>
  </si>
  <si>
    <t>4060043:10|4060044:10|4060045:10|4060046:10|4060047:10|4060048:10|4011901:20|4013901:20|4015901:20|4016901:20|3150026:1</t>
    <phoneticPr fontId="41" type="noConversion"/>
  </si>
  <si>
    <t>124605</t>
  </si>
  <si>
    <t>新手礼包</t>
    <phoneticPr fontId="25" type="noConversion"/>
  </si>
  <si>
    <t>得到价值88钻的新手大礼包</t>
    <phoneticPr fontId="25" type="noConversion"/>
  </si>
  <si>
    <t>尊享开服大礼包</t>
    <phoneticPr fontId="25" type="noConversion"/>
  </si>
  <si>
    <t>得到价值128钻的尊享开服大礼包</t>
    <phoneticPr fontId="25" type="noConversion"/>
  </si>
  <si>
    <t>豪华开服大礼包</t>
    <phoneticPr fontId="25" type="noConversion"/>
  </si>
  <si>
    <t>得到价值288钻的豪华开服大礼包</t>
    <phoneticPr fontId="25" type="noConversion"/>
  </si>
  <si>
    <t>心悦礼包</t>
    <phoneticPr fontId="25" type="noConversion"/>
  </si>
  <si>
    <t>得到价值158钻的心悦礼包</t>
    <phoneticPr fontId="25" type="noConversion"/>
  </si>
  <si>
    <t>尊享黄金礼包</t>
    <phoneticPr fontId="25" type="noConversion"/>
  </si>
  <si>
    <t>得到价值388钻的尊享黄金礼包</t>
    <phoneticPr fontId="25" type="noConversion"/>
  </si>
  <si>
    <t>微信活动礼包</t>
    <phoneticPr fontId="25" type="noConversion"/>
  </si>
  <si>
    <t>得到价值188钻的微信活动礼包</t>
    <phoneticPr fontId="25" type="noConversion"/>
  </si>
  <si>
    <t>媒体礼包</t>
    <phoneticPr fontId="25" type="noConversion"/>
  </si>
  <si>
    <t>得到价值188钻的媒体礼包</t>
    <phoneticPr fontId="25" type="noConversion"/>
  </si>
  <si>
    <t>微信礼包</t>
    <phoneticPr fontId="25" type="noConversion"/>
  </si>
  <si>
    <t>登陆有礼</t>
    <phoneticPr fontId="25" type="noConversion"/>
  </si>
  <si>
    <t>登陆第1天</t>
    <phoneticPr fontId="25" type="noConversion"/>
  </si>
  <si>
    <t>CZJH_02</t>
    <phoneticPr fontId="25" type="noConversion"/>
  </si>
  <si>
    <t>2015-10-17</t>
    <phoneticPr fontId="25" type="noConversion"/>
  </si>
  <si>
    <t>登陆第2天</t>
  </si>
  <si>
    <t>登陆第3天</t>
  </si>
  <si>
    <t>登陆第4天</t>
  </si>
  <si>
    <t>登陆第5天</t>
  </si>
  <si>
    <t>登陆第6天</t>
  </si>
  <si>
    <t>登陆第7天</t>
  </si>
  <si>
    <t>126201</t>
  </si>
  <si>
    <t>圣诞登入有礼</t>
  </si>
  <si>
    <t>登陆第1天</t>
  </si>
  <si>
    <t>2015-12-23</t>
  </si>
  <si>
    <t>2015-12-24</t>
  </si>
  <si>
    <t>;;;;;;;1081926:1|1083926:1|1085926:1|1086926:1;;</t>
  </si>
  <si>
    <t>1081926:1|1083926:1|1085926:1|1086926:1</t>
  </si>
  <si>
    <t>126202</t>
  </si>
  <si>
    <t>;50;;;;;;;;</t>
  </si>
  <si>
    <t>126203</t>
  </si>
  <si>
    <t>;;;;;;;4040012:5;;</t>
  </si>
  <si>
    <t>4040012:5</t>
  </si>
  <si>
    <t>126204</t>
  </si>
  <si>
    <t>;;;;;;;3090200:50;;</t>
  </si>
  <si>
    <t>3090200:50</t>
  </si>
  <si>
    <t>126205</t>
  </si>
  <si>
    <t>;;;;;;;4040011:5;;</t>
  </si>
  <si>
    <t>4040011:5</t>
  </si>
  <si>
    <t>126206</t>
  </si>
  <si>
    <t>;;;;;;;3160100:50;;</t>
  </si>
  <si>
    <t>3160100:50</t>
  </si>
  <si>
    <t>126207</t>
  </si>
  <si>
    <t>;;;;;;;4011901:10|4013901:10|4015901:10|4016901:10;;</t>
  </si>
  <si>
    <t>4011901:10|4013901:10|4015901:10|4016901:10</t>
  </si>
  <si>
    <t>宝箱积分领取</t>
    <phoneticPr fontId="25" type="noConversion"/>
  </si>
  <si>
    <t>item_baoxiang_001</t>
    <phoneticPr fontId="25" type="noConversion"/>
  </si>
  <si>
    <t>3090500:20</t>
    <phoneticPr fontId="25" type="noConversion"/>
  </si>
  <si>
    <t>3090500:60</t>
    <phoneticPr fontId="41" type="noConversion"/>
  </si>
  <si>
    <t>3090500:200</t>
    <phoneticPr fontId="41" type="noConversion"/>
  </si>
  <si>
    <t>3090500:600</t>
    <phoneticPr fontId="41" type="noConversion"/>
  </si>
  <si>
    <t>3090500:1200</t>
    <phoneticPr fontId="41" type="noConversion"/>
  </si>
  <si>
    <t>128001</t>
    <phoneticPr fontId="25" type="noConversion"/>
  </si>
  <si>
    <t>宝箱积分活动</t>
    <phoneticPr fontId="25" type="noConversion"/>
  </si>
  <si>
    <t>钻石宝箱:40分，黄金宝箱:2分</t>
    <phoneticPr fontId="25" type="noConversion"/>
  </si>
  <si>
    <t>1.活动期间抽取宝箱会得到积分（1次钻石=40分，1次金币=2分）
2.积分达到宝箱所需的积分后，可以领取宝箱。
3.活动结束后，界面还会保留一天，尽快领取奖励
4.排行榜前100名的玩家可以得到排行榜奖励
5.每次活动结束后，积分将清零</t>
    <phoneticPr fontId="25" type="noConversion"/>
  </si>
  <si>
    <t>无尽积分</t>
    <phoneticPr fontId="25" type="noConversion"/>
  </si>
  <si>
    <t>2024-05-02</t>
    <phoneticPr fontId="25" type="noConversion"/>
  </si>
  <si>
    <t xml:space="preserve">13001|13002|13003|13004|13005|13006
</t>
    <phoneticPr fontId="25" type="noConversion"/>
  </si>
  <si>
    <t>6</t>
    <phoneticPr fontId="25" type="noConversion"/>
  </si>
  <si>
    <t>幸运轮盘</t>
    <phoneticPr fontId="25" type="noConversion"/>
  </si>
  <si>
    <t>1.在活动期间，右侧抽奖会随机抽取获得奖励和幸运色（红色和黑色）
2.左侧转盘主要是奖励翻倍的提示，最高奖励可返5倍哦，翻倍条件为，
右侧抽取的幸运色和转盘指针所指颜色相同，那么转盘指针指的数字则
是你所获得奖励的几倍。
3.如果转盘指针和右侧抽奖机所指的幸运色不一致，所获得奖励不会翻
倍，那么抽奖机所指奖励就是你所获得奖励。
4.玩家每天有3次免费次数，免费次数0点重置。
5.免费次数使用完后再次抽取将花费钻石（50钻石/次）</t>
    <phoneticPr fontId="25" type="noConversion"/>
  </si>
  <si>
    <t>00:00:00</t>
    <phoneticPr fontId="25" type="noConversion"/>
  </si>
  <si>
    <t>23:59:59</t>
    <phoneticPr fontId="25" type="noConversion"/>
  </si>
  <si>
    <t>1|2|3|4|5|6|7</t>
    <phoneticPr fontId="25" type="noConversion"/>
  </si>
  <si>
    <t>限时团购</t>
    <phoneticPr fontId="25" type="noConversion"/>
  </si>
  <si>
    <t>普通档</t>
    <phoneticPr fontId="25" type="noConversion"/>
  </si>
  <si>
    <t>[fff600]活动期间内，凡是购买限时礼包的玩家，当游戏中有足够人数购买此礼包，就能够领取团购礼包。[-]</t>
    <phoneticPr fontId="25" type="noConversion"/>
  </si>
  <si>
    <t>豪华档</t>
    <phoneticPr fontId="25" type="noConversion"/>
  </si>
  <si>
    <t>至尊档</t>
    <phoneticPr fontId="25" type="noConversion"/>
  </si>
  <si>
    <t>10人团购礼包</t>
    <phoneticPr fontId="25" type="noConversion"/>
  </si>
  <si>
    <t>item_gift_001</t>
  </si>
  <si>
    <t>3170000:1</t>
    <phoneticPr fontId="41" type="noConversion"/>
  </si>
  <si>
    <t>20人团购礼包</t>
    <phoneticPr fontId="25" type="noConversion"/>
  </si>
  <si>
    <t>item_gift_002</t>
    <phoneticPr fontId="25" type="noConversion"/>
  </si>
  <si>
    <t>50人团购礼包</t>
    <phoneticPr fontId="25" type="noConversion"/>
  </si>
  <si>
    <t>item_gift_003</t>
    <phoneticPr fontId="25" type="noConversion"/>
  </si>
  <si>
    <t>100人团购礼包</t>
    <phoneticPr fontId="25" type="noConversion"/>
  </si>
  <si>
    <t>item_gift_004</t>
    <phoneticPr fontId="25" type="noConversion"/>
  </si>
  <si>
    <t>3160100:100</t>
    <phoneticPr fontId="41" type="noConversion"/>
  </si>
  <si>
    <t>3090500:100</t>
    <phoneticPr fontId="41" type="noConversion"/>
  </si>
  <si>
    <t>超值A</t>
    <phoneticPr fontId="25" type="noConversion"/>
  </si>
  <si>
    <t>超值大放购，买好礼送不停！</t>
    <phoneticPr fontId="25" type="noConversion"/>
  </si>
  <si>
    <t>item_gift_001</t>
    <phoneticPr fontId="25" type="noConversion"/>
  </si>
  <si>
    <t>超值B</t>
    <phoneticPr fontId="25" type="noConversion"/>
  </si>
  <si>
    <t>item_gift_002</t>
  </si>
  <si>
    <t>超值C</t>
    <phoneticPr fontId="25" type="noConversion"/>
  </si>
  <si>
    <t>item_gift_003</t>
  </si>
  <si>
    <t>3090200:500</t>
  </si>
  <si>
    <t>超值礼包奖励</t>
    <phoneticPr fontId="25" type="noConversion"/>
  </si>
  <si>
    <t>完成购买超值A、超值B、超值C额外获得奖励</t>
    <phoneticPr fontId="25" type="noConversion"/>
  </si>
  <si>
    <t>item_gift_004</t>
  </si>
  <si>
    <t>勇者大乱斗</t>
    <phoneticPr fontId="25" type="noConversion"/>
  </si>
  <si>
    <t>跨服多人PVP</t>
    <phoneticPr fontId="25" type="noConversion"/>
  </si>
  <si>
    <t>6003|6004</t>
    <phoneticPr fontId="25" type="noConversion"/>
  </si>
  <si>
    <t>136001</t>
    <phoneticPr fontId="25" type="noConversion"/>
  </si>
  <si>
    <t>累计消费</t>
    <phoneticPr fontId="25" type="noConversion"/>
  </si>
  <si>
    <t>[fff600]活动期间玩家累计消费将会获得丰厚奖励[-]</t>
    <phoneticPr fontId="25" type="noConversion"/>
  </si>
  <si>
    <t>CZJH_09</t>
    <phoneticPr fontId="25" type="noConversion"/>
  </si>
  <si>
    <t>136002</t>
  </si>
  <si>
    <t>136003</t>
  </si>
  <si>
    <t>136004</t>
  </si>
  <si>
    <t>136005</t>
  </si>
  <si>
    <t>136006</t>
  </si>
  <si>
    <t>五星好评</t>
    <phoneticPr fontId="25" type="noConversion"/>
  </si>
  <si>
    <t>五星好评《激战星球》可获得丰厚奖励：
光辉之翼*1，体力药剂</t>
    <phoneticPr fontId="25" type="noConversion"/>
  </si>
  <si>
    <t>1101100:1|1102100:1|1103100:1|1104100:1|1105100:1|1106100:1|3170000:1</t>
    <phoneticPr fontId="25" type="noConversion"/>
  </si>
  <si>
    <t>1390029</t>
    <phoneticPr fontId="25" type="noConversion"/>
  </si>
  <si>
    <t>装备大比拼</t>
    <phoneticPr fontId="25" type="noConversion"/>
  </si>
  <si>
    <t>1</t>
    <phoneticPr fontId="25" type="noConversion"/>
  </si>
  <si>
    <t>1390030</t>
  </si>
  <si>
    <t>武器战力大比拼</t>
    <phoneticPr fontId="25" type="noConversion"/>
  </si>
  <si>
    <t>1390031</t>
  </si>
  <si>
    <t>战力大比拼</t>
    <phoneticPr fontId="25" type="noConversion"/>
  </si>
  <si>
    <t>1390032</t>
  </si>
  <si>
    <t>晶片战力大比拼</t>
    <phoneticPr fontId="25" type="noConversion"/>
  </si>
  <si>
    <t>[fff603]第四天晶片战力大比拼[-]</t>
    <phoneticPr fontId="25" type="noConversion"/>
  </si>
  <si>
    <t>1390033</t>
  </si>
  <si>
    <t>宝石战力大比拼</t>
    <phoneticPr fontId="25" type="noConversion"/>
  </si>
  <si>
    <t>[fff604]第五天宝石战力大比拼[-]</t>
    <phoneticPr fontId="25" type="noConversion"/>
  </si>
  <si>
    <t>1390034</t>
  </si>
  <si>
    <t>宠物战力大比拼</t>
    <phoneticPr fontId="25" type="noConversion"/>
  </si>
  <si>
    <t>[fff605]第六天宠物总战力大比拼[-]</t>
    <phoneticPr fontId="25" type="noConversion"/>
  </si>
  <si>
    <t>1390035</t>
  </si>
  <si>
    <t>总战力大比拼</t>
    <phoneticPr fontId="25" type="noConversion"/>
  </si>
  <si>
    <t>[fff606]第七天总战力大比拼[-]</t>
    <phoneticPr fontId="25" type="noConversion"/>
  </si>
  <si>
    <t>积少成多</t>
    <phoneticPr fontId="25" type="noConversion"/>
  </si>
  <si>
    <t>CZJH_01</t>
    <phoneticPr fontId="25" type="noConversion"/>
  </si>
  <si>
    <t>142101</t>
    <phoneticPr fontId="25" type="noConversion"/>
  </si>
  <si>
    <t>战力膜拜</t>
    <phoneticPr fontId="25" type="noConversion"/>
  </si>
  <si>
    <t>意志坚定并付出努力的人，应该收到其他各路英雄的膜拜（前往膜拜后可获得宝箱，膜拜形象每周一刷新）</t>
    <phoneticPr fontId="25" type="noConversion"/>
  </si>
  <si>
    <t>18-99</t>
    <phoneticPr fontId="25" type="noConversion"/>
  </si>
  <si>
    <t>142201</t>
    <phoneticPr fontId="25" type="noConversion"/>
  </si>
  <si>
    <t>公会膜拜</t>
    <phoneticPr fontId="25" type="noConversion"/>
  </si>
  <si>
    <t>公会战场1</t>
    <phoneticPr fontId="25" type="noConversion"/>
  </si>
  <si>
    <t>全天</t>
    <phoneticPr fontId="25" type="noConversion"/>
  </si>
  <si>
    <t>公会战场2</t>
    <phoneticPr fontId="25" type="noConversion"/>
  </si>
  <si>
    <t>公会战场3</t>
    <phoneticPr fontId="25" type="noConversion"/>
  </si>
  <si>
    <t>公会战场4</t>
    <phoneticPr fontId="25" type="noConversion"/>
  </si>
  <si>
    <t>公会战场5</t>
    <phoneticPr fontId="25" type="noConversion"/>
  </si>
  <si>
    <t>143106</t>
    <phoneticPr fontId="25" type="noConversion"/>
  </si>
  <si>
    <t>公会战场6</t>
    <phoneticPr fontId="25" type="noConversion"/>
  </si>
  <si>
    <t>143107</t>
    <phoneticPr fontId="25" type="noConversion"/>
  </si>
  <si>
    <t>公会战场7</t>
    <phoneticPr fontId="25" type="noConversion"/>
  </si>
  <si>
    <t>[fff600]每天充值[70e6ff]2000[-]钻即可获得如下奖励：[-]</t>
    <phoneticPr fontId="25" type="noConversion"/>
  </si>
  <si>
    <t>[fff600]每天充值[70e6ff]3300[-]钻即可获得如下奖励：[-]</t>
    <phoneticPr fontId="25" type="noConversion"/>
  </si>
  <si>
    <t>124305</t>
    <phoneticPr fontId="25" type="noConversion"/>
  </si>
  <si>
    <t>124306</t>
    <phoneticPr fontId="25" type="noConversion"/>
  </si>
  <si>
    <t>124307</t>
    <phoneticPr fontId="25" type="noConversion"/>
  </si>
  <si>
    <t>登陆第8天</t>
  </si>
  <si>
    <t>登陆第9天</t>
  </si>
  <si>
    <t>登陆第10天</t>
  </si>
  <si>
    <t>登陆第11天</t>
  </si>
  <si>
    <t>登陆第12天</t>
  </si>
  <si>
    <t>登陆第13天</t>
  </si>
  <si>
    <t>登陆第14天</t>
  </si>
  <si>
    <t>登陆第15天</t>
  </si>
  <si>
    <t>登陆第16天</t>
  </si>
  <si>
    <t>登陆第17天</t>
  </si>
  <si>
    <t>登陆第18天</t>
  </si>
  <si>
    <t>登陆第19天</t>
  </si>
  <si>
    <t>登陆第20天</t>
  </si>
  <si>
    <t>登陆第21天</t>
  </si>
  <si>
    <t>3090200:40|4040001:3|4011100:3|4013100:3|4015100:3|4016100:3</t>
  </si>
  <si>
    <t>1010501:1|3160100:20|4070001:10|4070002:10|4070003:10|4070004:10|4070005:10|4070006:10|4011200:3|4013200:3|4015200:3|4016200:3</t>
  </si>
  <si>
    <t>1020400:1|3040000:20|4040004:3|4011300:3|4013300:3|4015300:3|4016300:3</t>
  </si>
  <si>
    <t>1030400:1|3090200:40|4040005:3|4011100:3|4013100:3|4015100:3|4016100:3</t>
  </si>
  <si>
    <t>1040400:1|3160100:20|4040001:3|4011200:3|4013200:3|4015200:3|4016200:3</t>
  </si>
  <si>
    <t>3160100:20|4040005:3|4011200:3|4013200:3|4015200:3|4016200:3</t>
  </si>
  <si>
    <t>3040000:20|4040001:3|4011300:3|4013300:3|4015300:3|4016300:3</t>
  </si>
  <si>
    <t>3090200:40|4040004:3|4011100:3|4013100:3|4015100:3|4016100:3</t>
  </si>
  <si>
    <t>3040000:20|1131505:1|4011300:3|4013300:3|4015300:3|4016300:3</t>
  </si>
  <si>
    <t>3160100:20|4040004:3|4011200:3|4013200:3|4015200:3|4016200:3</t>
  </si>
  <si>
    <t>3040000:20|4040005:3|4011300:3|4013300:3|4015300:3|4016300:3</t>
  </si>
  <si>
    <t>4011000:10|4013000:10|4015000:10|4016000:10|1091502:1|1092502:1|1093502:1|1094502:1|1095502:1|1096502:1|1040501:1|1030501:1</t>
    <phoneticPr fontId="84" type="noConversion"/>
  </si>
  <si>
    <t>4011000:20|4013000:20|4015000:20|4016000:20|4040003:20|1120501:1|3040000:500</t>
    <phoneticPr fontId="25" type="noConversion"/>
  </si>
  <si>
    <t>4011000:40|4013000:40|4015000:40|4016000:40|1101507:1|1102507:1|1103507:1|1104507:1|1105507:1|1106507:1|2040006:1|3170000:5</t>
    <phoneticPr fontId="84" type="noConversion"/>
  </si>
  <si>
    <t>[fff600]60[70e6ff][-]钻即可获得【稀有枪械】KT99首充枪[-]</t>
    <phoneticPr fontId="25" type="noConversion"/>
  </si>
  <si>
    <t>2024-05-01</t>
    <phoneticPr fontId="25" type="noConversion"/>
  </si>
  <si>
    <t>1</t>
    <phoneticPr fontId="25" type="noConversion"/>
  </si>
  <si>
    <t>[fff602]第一天总站力大比拼[-]</t>
    <phoneticPr fontId="25" type="noConversion"/>
  </si>
  <si>
    <t>[fff600]第二天装备总战力大比拼[-]</t>
    <phoneticPr fontId="25" type="noConversion"/>
  </si>
  <si>
    <t>[fff601]第三天武器战力大比拼[-]</t>
    <phoneticPr fontId="25" type="noConversion"/>
  </si>
  <si>
    <t>1050400:1|13040000:20|4040004:3|4011300:3|4013300:3|4015300:3|4016300:3</t>
    <phoneticPr fontId="25" type="noConversion"/>
  </si>
  <si>
    <t>1060400:1|13090200:40|4060002:10|4060009:10|4060016:10|4060023:10|4060030:10|4060037:10|4011100:3|4013100:3|4015100:3|4016100:3</t>
    <phoneticPr fontId="25" type="noConversion"/>
  </si>
  <si>
    <t>2014-05-01</t>
    <phoneticPr fontId="25" type="noConversion"/>
  </si>
  <si>
    <t>2024-05-01</t>
    <phoneticPr fontId="25" type="noConversion"/>
  </si>
  <si>
    <t>2015-10-17</t>
    <phoneticPr fontId="25" type="noConversion"/>
  </si>
  <si>
    <t>OpenResourcesLevelGoldWnd</t>
    <phoneticPr fontId="25" type="noConversion"/>
  </si>
  <si>
    <t>经验双倍</t>
    <phoneticPr fontId="25" type="noConversion"/>
  </si>
  <si>
    <t>OpenResourcesLevelExpWnd</t>
    <phoneticPr fontId="25" type="noConversion"/>
  </si>
  <si>
    <t>[fff600]奇遇-经验矿洞[-]限时双倍，挑战者在活动期间完成副本就可以获得双倍掉落哦，赶快来参加吧。</t>
    <phoneticPr fontId="25" type="noConversion"/>
  </si>
  <si>
    <t>5500|5501|5502</t>
    <phoneticPr fontId="25" type="noConversion"/>
  </si>
  <si>
    <t>2016-05-01</t>
    <phoneticPr fontId="25" type="noConversion"/>
  </si>
  <si>
    <t>2016-05-01</t>
    <phoneticPr fontId="25" type="noConversion"/>
  </si>
  <si>
    <t>00-00-00</t>
    <phoneticPr fontId="25" type="noConversion"/>
  </si>
  <si>
    <t>00-00-02</t>
    <phoneticPr fontId="25" type="noConversion"/>
  </si>
  <si>
    <t>00-00-03</t>
    <phoneticPr fontId="25" type="noConversion"/>
  </si>
  <si>
    <t>00-00-01</t>
    <phoneticPr fontId="25" type="noConversion"/>
  </si>
  <si>
    <t>00-00-04</t>
    <phoneticPr fontId="25" type="noConversion"/>
  </si>
  <si>
    <t>00-00-05</t>
    <phoneticPr fontId="25" type="noConversion"/>
  </si>
  <si>
    <t>00-00-06</t>
    <phoneticPr fontId="25" type="noConversion"/>
  </si>
  <si>
    <t>00-00-07</t>
    <phoneticPr fontId="25" type="noConversion"/>
  </si>
  <si>
    <t>00-00-08</t>
    <phoneticPr fontId="25" type="noConversion"/>
  </si>
  <si>
    <t>等级达到7级</t>
    <phoneticPr fontId="25" type="noConversion"/>
  </si>
  <si>
    <t>等级达到12级</t>
    <phoneticPr fontId="25" type="noConversion"/>
  </si>
  <si>
    <t>等级达到18级</t>
    <phoneticPr fontId="25" type="noConversion"/>
  </si>
  <si>
    <t>105010</t>
  </si>
  <si>
    <t>105011</t>
  </si>
  <si>
    <t>105012</t>
  </si>
  <si>
    <t>4050011:2|4050012:2|3090200:100</t>
    <phoneticPr fontId="25" type="noConversion"/>
  </si>
  <si>
    <t>1030501:1|3090200:100</t>
    <phoneticPr fontId="25" type="noConversion"/>
  </si>
  <si>
    <t>1010501:1|3090200:100</t>
    <phoneticPr fontId="25" type="noConversion"/>
  </si>
  <si>
    <t>1050501:1|3090200:100</t>
    <phoneticPr fontId="25" type="noConversion"/>
  </si>
  <si>
    <t>105002</t>
    <phoneticPr fontId="25" type="noConversion"/>
  </si>
  <si>
    <t>105009</t>
  </si>
  <si>
    <t>200000</t>
    <phoneticPr fontId="25" type="noConversion"/>
  </si>
  <si>
    <t>300000</t>
    <phoneticPr fontId="25" type="noConversion"/>
  </si>
  <si>
    <t>3000</t>
    <phoneticPr fontId="25" type="noConversion"/>
  </si>
  <si>
    <t>6000</t>
    <phoneticPr fontId="25" type="noConversion"/>
  </si>
  <si>
    <t>9000</t>
    <phoneticPr fontId="25" type="noConversion"/>
  </si>
  <si>
    <t>100000</t>
    <phoneticPr fontId="25" type="noConversion"/>
  </si>
  <si>
    <t>3170000:4|3090200:200|1101400:1|1102400:1|1103400:1|1104400:1|1105400:1|1106400:1</t>
    <phoneticPr fontId="25" type="noConversion"/>
  </si>
  <si>
    <t>3170000:6|3090200:400|3120100:100|1101501:1|1102501:1|1103501:1|1104501:1|1105501:1|1106501:1</t>
    <phoneticPr fontId="25" type="noConversion"/>
  </si>
  <si>
    <t>3020203:2|3090400:200|3120300:100|1101500:1|1102500:1|1103500:1|1104500:1|1105500:1|1106500:1</t>
    <phoneticPr fontId="25" type="noConversion"/>
  </si>
  <si>
    <t>3020204:2|3090400:400|3120300:200|1101506:1|1102506:1|1103506:1|1104506:1|1105506:1|1106506:1</t>
    <phoneticPr fontId="25" type="noConversion"/>
  </si>
  <si>
    <t>3170000:2|3090200:100</t>
    <phoneticPr fontId="25" type="noConversion"/>
  </si>
  <si>
    <t>3170000:1</t>
    <phoneticPr fontId="76" type="noConversion"/>
  </si>
  <si>
    <t>3020100:2|3040000:100|4040005:10</t>
    <phoneticPr fontId="25" type="noConversion"/>
  </si>
  <si>
    <t>3020101:2|3040000:200|4040010:10</t>
    <phoneticPr fontId="25" type="noConversion"/>
  </si>
  <si>
    <t>500000</t>
    <phoneticPr fontId="25" type="noConversion"/>
  </si>
  <si>
    <t>3090200:200|4011000:3|4013000:3|4015000:3|4016000:3</t>
    <phoneticPr fontId="84" type="noConversion"/>
  </si>
  <si>
    <t>3090400:100|4011000:5|4013000:5|4015000:5|4016000:5|4080005:10</t>
    <phoneticPr fontId="25" type="noConversion"/>
  </si>
  <si>
    <t>3020124:1|6080001:5|4011000:10|4013000:10|4015000:10|4016000:10|1091402:1|1092402:1|1093402:1|1094402:1|1095402:1|1096402:1</t>
    <phoneticPr fontId="25" type="noConversion"/>
  </si>
  <si>
    <t>102007</t>
  </si>
  <si>
    <t>102008</t>
  </si>
  <si>
    <t>102009</t>
  </si>
  <si>
    <t>102010</t>
  </si>
  <si>
    <t>102011</t>
  </si>
  <si>
    <t>102012</t>
  </si>
  <si>
    <t>3160100:300</t>
    <phoneticPr fontId="25" type="noConversion"/>
  </si>
  <si>
    <t>原价：50元  现在购买只需30元</t>
    <phoneticPr fontId="25" type="noConversion"/>
  </si>
  <si>
    <t>原价：300元  现在购买只需198元</t>
    <phoneticPr fontId="25" type="noConversion"/>
  </si>
  <si>
    <t>原价：1000元  现在购买只需648元</t>
    <phoneticPr fontId="25" type="noConversion"/>
  </si>
  <si>
    <t>1081001:1|1083001:1|1085001:1|1086001:1|3020202:3</t>
    <phoneticPr fontId="25" type="noConversion"/>
  </si>
  <si>
    <t>1081001:1|1083001:1|1085001:1|1086001:1|1081701:1|1083701:1|1085701:1|1086701:1|3020204:3</t>
    <phoneticPr fontId="25" type="noConversion"/>
  </si>
  <si>
    <t>1081001:1|1083001:1|1085001:1|1086001:1|1081701:1|1083701:1|1085701:1|1086701:1|1081801:1|1083801:1|1085801:1|1086801:1|3020205:3|4011800:20|4013800:20|4015800:20|4016800:20</t>
    <phoneticPr fontId="25" type="noConversion"/>
  </si>
  <si>
    <t>124308</t>
  </si>
  <si>
    <t>124309</t>
  </si>
  <si>
    <t>124310</t>
  </si>
  <si>
    <t>1101501:1|1102501:1|1103501:1|1104501:1|1105501:1|1106501:1</t>
    <phoneticPr fontId="25" type="noConversion"/>
  </si>
  <si>
    <t>140002</t>
    <phoneticPr fontId="25" type="noConversion"/>
  </si>
  <si>
    <t>4040009:20|3120100:10|3160200:20</t>
    <phoneticPr fontId="76" type="noConversion"/>
  </si>
  <si>
    <t>3020203:1</t>
    <phoneticPr fontId="25" type="noConversion"/>
  </si>
  <si>
    <t>3020203:2|3160200:10</t>
    <phoneticPr fontId="25" type="noConversion"/>
  </si>
  <si>
    <t>3020204:1|3160200:10|4040009:10</t>
    <phoneticPr fontId="25" type="noConversion"/>
  </si>
  <si>
    <t>141201</t>
    <phoneticPr fontId="25" type="noConversion"/>
  </si>
  <si>
    <t>141101</t>
    <phoneticPr fontId="25" type="noConversion"/>
  </si>
  <si>
    <t>12:00:00</t>
    <phoneticPr fontId="25" type="noConversion"/>
  </si>
  <si>
    <t>14:00:00</t>
    <phoneticPr fontId="25" type="noConversion"/>
  </si>
  <si>
    <t>20:00:00</t>
    <phoneticPr fontId="25" type="noConversion"/>
  </si>
  <si>
    <t>12:00-14:00</t>
    <phoneticPr fontId="25" type="noConversion"/>
  </si>
  <si>
    <t>18:00-20:00</t>
    <phoneticPr fontId="25" type="noConversion"/>
  </si>
  <si>
    <t>144001</t>
    <phoneticPr fontId="25" type="noConversion"/>
  </si>
  <si>
    <t>充值抽奖</t>
    <phoneticPr fontId="25" type="noConversion"/>
  </si>
  <si>
    <t>充值赠送抽奖次数，咸鱼翻身、逆天改命从今天开始！</t>
    <phoneticPr fontId="25" type="noConversion"/>
  </si>
  <si>
    <t>124204</t>
    <phoneticPr fontId="25" type="noConversion"/>
  </si>
  <si>
    <t>单笔充值</t>
    <phoneticPr fontId="25" type="noConversion"/>
  </si>
  <si>
    <t>单笔充值6480钻</t>
    <phoneticPr fontId="25" type="noConversion"/>
  </si>
  <si>
    <t>[fff600]单笔充值可获得丰厚奖励哦</t>
    <phoneticPr fontId="25" type="noConversion"/>
  </si>
  <si>
    <t>CZJH_04</t>
    <phoneticPr fontId="25" type="noConversion"/>
  </si>
  <si>
    <t>1-99</t>
    <phoneticPr fontId="25" type="noConversion"/>
  </si>
  <si>
    <t>4010000:10|4080004:5|3020206:1</t>
    <phoneticPr fontId="84" type="noConversion"/>
  </si>
  <si>
    <t>;</t>
    <phoneticPr fontId="25" type="noConversion"/>
  </si>
  <si>
    <t>124205</t>
    <phoneticPr fontId="25" type="noConversion"/>
  </si>
  <si>
    <t>单笔充值3280钻</t>
    <phoneticPr fontId="25" type="noConversion"/>
  </si>
  <si>
    <t>4010000:5|4080003:5|3160100:400</t>
    <phoneticPr fontId="84" type="noConversion"/>
  </si>
  <si>
    <t>124206</t>
    <phoneticPr fontId="25" type="noConversion"/>
  </si>
  <si>
    <t>单笔充值1980钻</t>
    <phoneticPr fontId="25" type="noConversion"/>
  </si>
  <si>
    <t>4010000:3|4080002:5</t>
    <phoneticPr fontId="84" type="noConversion"/>
  </si>
  <si>
    <t>星爵礼包</t>
    <phoneticPr fontId="25" type="noConversion"/>
  </si>
  <si>
    <t>原价：50元  现在购买只需30元</t>
    <phoneticPr fontId="25" type="noConversion"/>
  </si>
  <si>
    <t>http://192.168.1.2/imagehost1.6.6/image.php?di=V2V6</t>
    <phoneticPr fontId="25" type="noConversion"/>
  </si>
  <si>
    <t>3020205:2|3120100:200|3120300:200|1101502:1|1102502:1|1103502:1|1104502:1|1105502:1|1106502:1</t>
    <phoneticPr fontId="25" type="noConversion"/>
  </si>
  <si>
    <t>3020124:5|3090600:2|6080001:10|4011000:15|4013000:15|4015000:15|4016000:15|1091501:1|1092501:1|1093501:1|1094501:1|1095501:1|1096501:1</t>
    <phoneticPr fontId="25" type="noConversion"/>
  </si>
  <si>
    <t>3020224:1|3090600:4|6080001:10|4011000:20|4013000:20|4015000:20|4016000:20|1091502:1|1092502:1|1093502:1|1094502:1|1095501:1|1096502:1</t>
    <phoneticPr fontId="25" type="noConversion"/>
  </si>
  <si>
    <t>3020224:2|3090600:6|6080001:10|4011000:25|4013000:25|4015000:25|4016000:25|1091503:1|1092503:1|1093503:1|1094503:1|1095503:1|1096503:1</t>
    <phoneticPr fontId="25" type="noConversion"/>
  </si>
  <si>
    <t>3090400:100|4011000:5|4013000:5|4015000:5|4016000:5|4080005:10</t>
    <phoneticPr fontId="25" type="noConversion"/>
  </si>
  <si>
    <t>3020124:1|6080001:5|4011000:10|4013000:10|4015000:10|4016000:10|4080001:10</t>
    <phoneticPr fontId="25" type="noConversion"/>
  </si>
  <si>
    <t>3020124:5|3090600:2|6080001:10|4011000:15|4013000:15|4015000:15|4016000:15|4080002:10</t>
    <phoneticPr fontId="25" type="noConversion"/>
  </si>
  <si>
    <t>3020224:1|3090600:4|6080001:10|4011000:20|4013000:20|4015000:20|4016000:20|4080003:10</t>
    <phoneticPr fontId="25" type="noConversion"/>
  </si>
  <si>
    <t>3020224:2|3090600:6|6080001:10|4011000:25|4013000:25|4015000:25|4016000:25|4080004:10</t>
    <phoneticPr fontId="25" type="noConversion"/>
  </si>
  <si>
    <t>2016-08-30</t>
    <phoneticPr fontId="25" type="noConversion"/>
  </si>
  <si>
    <t>2016-09-05</t>
    <phoneticPr fontId="25" type="noConversion"/>
  </si>
  <si>
    <t>144002</t>
  </si>
  <si>
    <t>144003</t>
  </si>
  <si>
    <t>102013</t>
    <phoneticPr fontId="25" type="noConversion"/>
  </si>
  <si>
    <t>102014</t>
    <phoneticPr fontId="25" type="noConversion"/>
  </si>
  <si>
    <t>102015</t>
  </si>
  <si>
    <t>102016</t>
  </si>
  <si>
    <t>102017</t>
  </si>
  <si>
    <t>102018</t>
  </si>
  <si>
    <t>121006</t>
    <phoneticPr fontId="25" type="noConversion"/>
  </si>
  <si>
    <t>[fff600]每天充值[70e6ff]6500[-]钻即可获得如下奖励：[-]</t>
    <phoneticPr fontId="25" type="noConversion"/>
  </si>
  <si>
    <t>3020103:2|3040000:300|4040006:10</t>
    <phoneticPr fontId="25" type="noConversion"/>
  </si>
  <si>
    <t>117010</t>
    <phoneticPr fontId="25" type="noConversion"/>
  </si>
  <si>
    <t>机甲嘉年华</t>
    <phoneticPr fontId="25" type="noConversion"/>
  </si>
  <si>
    <t>[fff600]超值能量球大放价！[-][70e6ff]（8折+积分兑换&lt;5折）[-]</t>
    <phoneticPr fontId="25" type="noConversion"/>
  </si>
  <si>
    <t>使用1能量球获得1积分（首次购买另赠300能量球）</t>
    <phoneticPr fontId="25" type="noConversion"/>
  </si>
  <si>
    <t>1-99</t>
    <phoneticPr fontId="25" type="noConversion"/>
  </si>
  <si>
    <t>;</t>
    <phoneticPr fontId="25" type="noConversion"/>
  </si>
  <si>
    <t>124201</t>
    <phoneticPr fontId="25" type="noConversion"/>
  </si>
  <si>
    <t>CZJH_04</t>
    <phoneticPr fontId="25" type="noConversion"/>
  </si>
  <si>
    <t>128002</t>
    <phoneticPr fontId="25" type="noConversion"/>
  </si>
  <si>
    <t>136007</t>
    <phoneticPr fontId="25" type="noConversion"/>
  </si>
  <si>
    <t>136008</t>
    <phoneticPr fontId="25" type="noConversion"/>
  </si>
  <si>
    <t>136009</t>
  </si>
  <si>
    <t>136010</t>
  </si>
  <si>
    <t>136011</t>
  </si>
  <si>
    <t>136012</t>
  </si>
  <si>
    <t>3170000:6|3090200:400|3120100:100|1101507:1|1102507:1|1103507:1|1104507:1|1105507:1|1106507:1</t>
    <phoneticPr fontId="25" type="noConversion"/>
  </si>
  <si>
    <r>
      <t>3020204:2|3090400:400|3120300:200|110150</t>
    </r>
    <r>
      <rPr>
        <sz val="11"/>
        <color indexed="8"/>
        <rFont val="宋体"/>
        <family val="3"/>
        <charset val="134"/>
      </rPr>
      <t>3</t>
    </r>
    <r>
      <rPr>
        <sz val="11"/>
        <color indexed="8"/>
        <rFont val="宋体"/>
        <family val="3"/>
        <charset val="134"/>
      </rPr>
      <t>:1|110250</t>
    </r>
    <r>
      <rPr>
        <sz val="11"/>
        <color indexed="8"/>
        <rFont val="宋体"/>
        <family val="3"/>
        <charset val="134"/>
      </rPr>
      <t>3</t>
    </r>
    <r>
      <rPr>
        <sz val="11"/>
        <color indexed="8"/>
        <rFont val="宋体"/>
        <family val="3"/>
        <charset val="134"/>
      </rPr>
      <t>:1|110350</t>
    </r>
    <r>
      <rPr>
        <sz val="11"/>
        <color indexed="8"/>
        <rFont val="宋体"/>
        <family val="3"/>
        <charset val="134"/>
      </rPr>
      <t>3</t>
    </r>
    <r>
      <rPr>
        <sz val="11"/>
        <color indexed="8"/>
        <rFont val="宋体"/>
        <family val="3"/>
        <charset val="134"/>
      </rPr>
      <t>:1|110450</t>
    </r>
    <r>
      <rPr>
        <sz val="11"/>
        <color indexed="8"/>
        <rFont val="宋体"/>
        <family val="3"/>
        <charset val="134"/>
      </rPr>
      <t>3</t>
    </r>
    <r>
      <rPr>
        <sz val="11"/>
        <color indexed="8"/>
        <rFont val="宋体"/>
        <family val="3"/>
        <charset val="134"/>
      </rPr>
      <t>:1|110550</t>
    </r>
    <r>
      <rPr>
        <sz val="11"/>
        <color indexed="8"/>
        <rFont val="宋体"/>
        <family val="3"/>
        <charset val="134"/>
      </rPr>
      <t>3</t>
    </r>
    <r>
      <rPr>
        <sz val="11"/>
        <color indexed="8"/>
        <rFont val="宋体"/>
        <family val="3"/>
        <charset val="134"/>
      </rPr>
      <t>:1|110650</t>
    </r>
    <r>
      <rPr>
        <sz val="11"/>
        <color indexed="8"/>
        <rFont val="宋体"/>
        <family val="3"/>
        <charset val="134"/>
      </rPr>
      <t>3</t>
    </r>
    <r>
      <rPr>
        <sz val="11"/>
        <color indexed="8"/>
        <rFont val="宋体"/>
        <family val="3"/>
        <charset val="134"/>
      </rPr>
      <t>:1</t>
    </r>
    <phoneticPr fontId="25" type="noConversion"/>
  </si>
  <si>
    <t>月度礼包</t>
    <phoneticPr fontId="25" type="noConversion"/>
  </si>
  <si>
    <t>连续30天每日领取[28ff28]50[-]钻（首日[28ff28]300[-]钻）</t>
    <phoneticPr fontId="25" type="noConversion"/>
  </si>
  <si>
    <t>2014-05-01</t>
    <phoneticPr fontId="25" type="noConversion"/>
  </si>
  <si>
    <t>2024-05-01</t>
    <phoneticPr fontId="25" type="noConversion"/>
  </si>
  <si>
    <t>0-99</t>
    <phoneticPr fontId="25" type="noConversion"/>
  </si>
  <si>
    <t>永久礼包</t>
    <phoneticPr fontId="25" type="noConversion"/>
  </si>
  <si>
    <t>[fff600]每日可领取[70e6ff]80[-]钻首日领取[70e6ff]760[-]钻[-]</t>
    <phoneticPr fontId="25" type="noConversion"/>
  </si>
  <si>
    <t>购买当日可领取760钻，游戏运营期间每日领取80钻</t>
    <phoneticPr fontId="25" type="noConversion"/>
  </si>
  <si>
    <t>gem_8</t>
    <phoneticPr fontId="25" type="noConversion"/>
  </si>
  <si>
    <t>124006</t>
    <phoneticPr fontId="25" type="noConversion"/>
  </si>
  <si>
    <t>2015-05-01</t>
    <phoneticPr fontId="25" type="noConversion"/>
  </si>
  <si>
    <t>另赠送300钻石[28ff28]（限赠1次）[-]充值后立即获得</t>
    <phoneticPr fontId="25" type="noConversion"/>
  </si>
  <si>
    <t>124011</t>
    <phoneticPr fontId="25" type="noConversion"/>
  </si>
  <si>
    <t>另赠送60钻石[28ff28]（限赠1次）[-]充值后立即获得</t>
    <phoneticPr fontId="25" type="noConversion"/>
  </si>
  <si>
    <t>60</t>
    <phoneticPr fontId="25" type="noConversion"/>
  </si>
  <si>
    <t>124303</t>
    <phoneticPr fontId="25" type="noConversion"/>
  </si>
  <si>
    <t>3170000:3|3150022:1</t>
    <phoneticPr fontId="78" type="noConversion"/>
  </si>
  <si>
    <t>124403</t>
    <phoneticPr fontId="25" type="noConversion"/>
  </si>
  <si>
    <t>124401</t>
    <phoneticPr fontId="25" type="noConversion"/>
  </si>
  <si>
    <t>106003</t>
    <phoneticPr fontId="25" type="noConversion"/>
  </si>
  <si>
    <t>124402</t>
    <phoneticPr fontId="25" type="noConversion"/>
  </si>
  <si>
    <t>另赠送[28ff28]880[-]钻石</t>
    <phoneticPr fontId="25" type="noConversion"/>
  </si>
  <si>
    <t>另赠送[28ff28]180[-]钻石</t>
    <phoneticPr fontId="25" type="noConversion"/>
  </si>
  <si>
    <t>月卡奖励赠送[28ff28]50[-]钻石</t>
    <phoneticPr fontId="25" type="noConversion"/>
  </si>
  <si>
    <t>0</t>
    <phoneticPr fontId="25" type="noConversion"/>
  </si>
  <si>
    <t>http://shkr.cdn.9splay.com.tw/Image/show2.png</t>
    <phoneticPr fontId="25" type="noConversion"/>
  </si>
  <si>
    <t>圣诞时装礼包</t>
    <phoneticPr fontId="25" type="noConversion"/>
  </si>
  <si>
    <t>圣诞雪人礼包</t>
    <phoneticPr fontId="25" type="noConversion"/>
  </si>
  <si>
    <t>4040011:20|4011901:10|4013901:10|4015901:10|4016901:10|3150024:1</t>
    <phoneticPr fontId="41" type="noConversion"/>
  </si>
  <si>
    <t>2016-05-04</t>
    <phoneticPr fontId="25" type="noConversion"/>
  </si>
  <si>
    <t>2016-08-03</t>
    <phoneticPr fontId="25" type="noConversion"/>
  </si>
  <si>
    <t>2016-08-09</t>
    <phoneticPr fontId="25" type="noConversion"/>
  </si>
  <si>
    <t>2016-08-17</t>
    <phoneticPr fontId="25" type="noConversion"/>
  </si>
  <si>
    <t>2016-08-23</t>
    <phoneticPr fontId="25" type="noConversion"/>
  </si>
  <si>
    <t>2016-08-23</t>
    <phoneticPr fontId="25" type="noConversion"/>
  </si>
  <si>
    <t>2016-08-31</t>
    <phoneticPr fontId="25" type="noConversion"/>
  </si>
  <si>
    <t>2016-09-06</t>
    <phoneticPr fontId="25" type="noConversion"/>
  </si>
  <si>
    <t>2016-08-05</t>
    <phoneticPr fontId="25" type="noConversion"/>
  </si>
  <si>
    <t>2016-08-07</t>
    <phoneticPr fontId="25" type="noConversion"/>
  </si>
  <si>
    <t>2016-08-12</t>
    <phoneticPr fontId="25" type="noConversion"/>
  </si>
  <si>
    <t>2016-08-14</t>
    <phoneticPr fontId="25" type="noConversion"/>
  </si>
  <si>
    <t>2016-08-26</t>
    <phoneticPr fontId="25" type="noConversion"/>
  </si>
  <si>
    <t>2016-08-28</t>
    <phoneticPr fontId="25" type="noConversion"/>
  </si>
  <si>
    <t>2016-08-19</t>
    <phoneticPr fontId="25" type="noConversion"/>
  </si>
  <si>
    <t>2016-08-21</t>
    <phoneticPr fontId="25" type="noConversion"/>
  </si>
  <si>
    <t>2016-08-16</t>
    <phoneticPr fontId="25" type="noConversion"/>
  </si>
  <si>
    <t>2016-08-22</t>
    <phoneticPr fontId="25" type="noConversion"/>
  </si>
  <si>
    <t>2016-08-10</t>
    <phoneticPr fontId="25" type="noConversion"/>
  </si>
  <si>
    <t>2016-08-24</t>
    <phoneticPr fontId="25" type="noConversion"/>
  </si>
  <si>
    <t>2016-08-30</t>
    <phoneticPr fontId="25" type="noConversion"/>
  </si>
  <si>
    <t>登陆第3天</t>
    <phoneticPr fontId="25" type="noConversion"/>
  </si>
  <si>
    <t>2016-08-20</t>
    <phoneticPr fontId="25" type="noConversion"/>
  </si>
  <si>
    <t>2016-08-26</t>
    <phoneticPr fontId="25" type="noConversion"/>
  </si>
  <si>
    <t>2016-08-27</t>
    <phoneticPr fontId="25" type="noConversion"/>
  </si>
  <si>
    <t>2016-08-13</t>
    <phoneticPr fontId="25" type="noConversion"/>
  </si>
  <si>
    <t>2016-08-19</t>
    <phoneticPr fontId="25" type="noConversion"/>
  </si>
  <si>
    <t>2016-09-05</t>
    <phoneticPr fontId="25" type="noConversion"/>
  </si>
  <si>
    <t>2016-08-06</t>
    <phoneticPr fontId="25" type="noConversion"/>
  </si>
  <si>
    <t>2016-08-12</t>
    <phoneticPr fontId="25" type="noConversion"/>
  </si>
  <si>
    <t>2016-08-29</t>
    <phoneticPr fontId="25" type="noConversion"/>
  </si>
  <si>
    <t>2016-08-15</t>
    <phoneticPr fontId="25" type="noConversion"/>
  </si>
  <si>
    <t>2016-09-02</t>
    <phoneticPr fontId="25" type="noConversion"/>
  </si>
  <si>
    <t>五星好评礼包</t>
    <phoneticPr fontId="25" type="noConversion"/>
  </si>
  <si>
    <t>得到价值200钻的五星好评礼包</t>
    <phoneticPr fontId="25" type="noConversion"/>
  </si>
  <si>
    <t>RewardDesc</t>
    <phoneticPr fontId="25" type="noConversion"/>
  </si>
  <si>
    <t>124310</t>
    <phoneticPr fontId="25" type="noConversion"/>
  </si>
  <si>
    <t>124309</t>
    <phoneticPr fontId="25" type="noConversion"/>
  </si>
  <si>
    <t>124309|124310</t>
    <phoneticPr fontId="25" type="noConversion"/>
  </si>
  <si>
    <t>124304</t>
    <phoneticPr fontId="25" type="noConversion"/>
  </si>
  <si>
    <t>124303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</si>
</sst>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_ [$¥-804]* #,##0_ ;_ [$¥-804]* \-#,##0_ ;_ [$¥-804]* &quot;-&quot;??_ ;_ @_ "/>
  </numFmts>
  <fonts count="119">
    <font>
      <sz val="11"/>
      <color indexed="8"/>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0"/>
      <color indexed="8"/>
      <name val="微软雅黑"/>
      <family val="2"/>
      <charset val="134"/>
    </font>
    <font>
      <sz val="11"/>
      <color indexed="9"/>
      <name val="宋体"/>
      <family val="3"/>
      <charset val="134"/>
    </font>
    <font>
      <b/>
      <sz val="18"/>
      <color indexed="62"/>
      <name val="宋体"/>
      <family val="3"/>
      <charset val="134"/>
    </font>
    <font>
      <b/>
      <sz val="11"/>
      <color indexed="9"/>
      <name val="宋体"/>
      <family val="3"/>
      <charset val="134"/>
    </font>
    <font>
      <sz val="11"/>
      <color indexed="52"/>
      <name val="宋体"/>
      <family val="3"/>
      <charset val="134"/>
    </font>
    <font>
      <b/>
      <sz val="15"/>
      <color indexed="62"/>
      <name val="宋体"/>
      <family val="3"/>
      <charset val="134"/>
    </font>
    <font>
      <sz val="11"/>
      <color indexed="10"/>
      <name val="宋体"/>
      <family val="3"/>
      <charset val="134"/>
    </font>
    <font>
      <sz val="11"/>
      <color indexed="62"/>
      <name val="宋体"/>
      <family val="3"/>
      <charset val="134"/>
    </font>
    <font>
      <b/>
      <sz val="11"/>
      <color indexed="8"/>
      <name val="宋体"/>
      <family val="3"/>
      <charset val="134"/>
    </font>
    <font>
      <sz val="11"/>
      <color indexed="60"/>
      <name val="宋体"/>
      <family val="3"/>
      <charset val="134"/>
    </font>
    <font>
      <i/>
      <sz val="11"/>
      <color indexed="23"/>
      <name val="宋体"/>
      <family val="3"/>
      <charset val="134"/>
    </font>
    <font>
      <b/>
      <sz val="11"/>
      <color indexed="62"/>
      <name val="宋体"/>
      <family val="3"/>
      <charset val="134"/>
    </font>
    <font>
      <b/>
      <sz val="11"/>
      <color indexed="52"/>
      <name val="宋体"/>
      <family val="3"/>
      <charset val="134"/>
    </font>
    <font>
      <b/>
      <sz val="11"/>
      <color indexed="63"/>
      <name val="宋体"/>
      <family val="3"/>
      <charset val="134"/>
    </font>
    <font>
      <sz val="11"/>
      <color indexed="17"/>
      <name val="宋体"/>
      <family val="3"/>
      <charset val="134"/>
    </font>
    <font>
      <b/>
      <sz val="13"/>
      <color indexed="62"/>
      <name val="宋体"/>
      <family val="3"/>
      <charset val="134"/>
    </font>
    <font>
      <sz val="11"/>
      <color indexed="8"/>
      <name val="宋体"/>
      <family val="3"/>
      <charset val="134"/>
    </font>
    <font>
      <sz val="9"/>
      <name val="宋体"/>
      <family val="3"/>
      <charset val="134"/>
    </font>
    <font>
      <b/>
      <sz val="9"/>
      <color theme="1"/>
      <name val="微软雅黑"/>
      <family val="2"/>
      <charset val="134"/>
    </font>
    <font>
      <sz val="9"/>
      <color indexed="8"/>
      <name val="微软雅黑"/>
      <family val="2"/>
      <charset val="134"/>
    </font>
    <font>
      <b/>
      <sz val="9"/>
      <color indexed="8"/>
      <name val="微软雅黑"/>
      <family val="2"/>
      <charset val="134"/>
    </font>
    <font>
      <b/>
      <sz val="9"/>
      <color indexed="9"/>
      <name val="微软雅黑"/>
      <family val="2"/>
      <charset val="134"/>
    </font>
    <font>
      <b/>
      <sz val="9"/>
      <color theme="0"/>
      <name val="微软雅黑"/>
      <family val="2"/>
      <charset val="134"/>
    </font>
    <font>
      <sz val="9"/>
      <color theme="1"/>
      <name val="微软雅黑"/>
      <family val="2"/>
      <charset val="134"/>
    </font>
    <font>
      <sz val="9"/>
      <color indexed="13"/>
      <name val="微软雅黑"/>
      <family val="2"/>
      <charset val="134"/>
    </font>
    <font>
      <sz val="9"/>
      <color rgb="FFFFFF00"/>
      <name val="微软雅黑"/>
      <family val="2"/>
      <charset val="134"/>
    </font>
    <font>
      <b/>
      <sz val="9"/>
      <color rgb="FFFFFF00"/>
      <name val="微软雅黑"/>
      <family val="2"/>
      <charset val="134"/>
    </font>
    <font>
      <sz val="9"/>
      <color rgb="FFFF0000"/>
      <name val="微软雅黑"/>
      <family val="2"/>
      <charset val="134"/>
    </font>
    <font>
      <sz val="9"/>
      <name val="宋体"/>
      <family val="3"/>
      <charset val="134"/>
    </font>
    <font>
      <sz val="9"/>
      <name val="宋体"/>
      <family val="3"/>
      <charset val="134"/>
    </font>
    <font>
      <sz val="12"/>
      <color indexed="8"/>
      <name val="微软雅黑"/>
      <family val="2"/>
      <charset val="134"/>
    </font>
    <font>
      <sz val="11"/>
      <color theme="1"/>
      <name val="Tahoma"/>
      <family val="2"/>
      <charset val="134"/>
    </font>
    <font>
      <b/>
      <sz val="10"/>
      <color theme="9" tint="-0.249977111117893"/>
      <name val="微软雅黑"/>
      <family val="2"/>
      <charset val="134"/>
    </font>
    <font>
      <sz val="9"/>
      <name val="宋体"/>
      <family val="2"/>
      <charset val="134"/>
      <scheme val="minor"/>
    </font>
    <font>
      <b/>
      <sz val="9"/>
      <color rgb="FF00B050"/>
      <name val="微软雅黑"/>
      <family val="2"/>
      <charset val="134"/>
    </font>
    <font>
      <b/>
      <sz val="9"/>
      <color theme="9" tint="-0.249977111117893"/>
      <name val="微软雅黑"/>
      <family val="2"/>
      <charset val="134"/>
    </font>
    <font>
      <b/>
      <sz val="10"/>
      <color rgb="FF00B0F0"/>
      <name val="微软雅黑"/>
      <family val="2"/>
      <charset val="134"/>
    </font>
    <font>
      <sz val="11"/>
      <color theme="1"/>
      <name val="宋体"/>
      <family val="3"/>
      <charset val="134"/>
      <scheme val="minor"/>
    </font>
    <font>
      <sz val="11"/>
      <color theme="0"/>
      <name val="宋体"/>
      <family val="3"/>
      <charset val="134"/>
      <scheme val="minor"/>
    </font>
    <font>
      <b/>
      <sz val="18"/>
      <color theme="3"/>
      <name val="宋体"/>
      <family val="3"/>
      <charset val="134"/>
      <scheme val="major"/>
    </font>
    <font>
      <b/>
      <sz val="15"/>
      <color theme="3"/>
      <name val="宋体"/>
      <family val="3"/>
      <charset val="134"/>
      <scheme val="minor"/>
    </font>
    <font>
      <b/>
      <sz val="13"/>
      <color theme="3"/>
      <name val="宋体"/>
      <family val="3"/>
      <charset val="134"/>
      <scheme val="minor"/>
    </font>
    <font>
      <b/>
      <sz val="11"/>
      <color theme="3"/>
      <name val="宋体"/>
      <family val="3"/>
      <charset val="134"/>
      <scheme val="minor"/>
    </font>
    <font>
      <sz val="11"/>
      <color rgb="FF9C0006"/>
      <name val="宋体"/>
      <family val="3"/>
      <charset val="134"/>
      <scheme val="minor"/>
    </font>
    <font>
      <sz val="11"/>
      <color rgb="FF006100"/>
      <name val="宋体"/>
      <family val="3"/>
      <charset val="134"/>
      <scheme val="minor"/>
    </font>
    <font>
      <b/>
      <sz val="11"/>
      <color theme="1"/>
      <name val="宋体"/>
      <family val="3"/>
      <charset val="134"/>
      <scheme val="minor"/>
    </font>
    <font>
      <b/>
      <sz val="11"/>
      <color rgb="FFFA7D00"/>
      <name val="宋体"/>
      <family val="3"/>
      <charset val="134"/>
      <scheme val="minor"/>
    </font>
    <font>
      <b/>
      <sz val="11"/>
      <color theme="0"/>
      <name val="宋体"/>
      <family val="3"/>
      <charset val="134"/>
      <scheme val="minor"/>
    </font>
    <font>
      <i/>
      <sz val="11"/>
      <color rgb="FF7F7F7F"/>
      <name val="宋体"/>
      <family val="3"/>
      <charset val="134"/>
      <scheme val="minor"/>
    </font>
    <font>
      <sz val="11"/>
      <color rgb="FFFF0000"/>
      <name val="宋体"/>
      <family val="3"/>
      <charset val="134"/>
      <scheme val="minor"/>
    </font>
    <font>
      <sz val="11"/>
      <color rgb="FFFA7D00"/>
      <name val="宋体"/>
      <family val="3"/>
      <charset val="134"/>
      <scheme val="minor"/>
    </font>
    <font>
      <sz val="11"/>
      <color rgb="FF9C6500"/>
      <name val="宋体"/>
      <family val="3"/>
      <charset val="134"/>
      <scheme val="minor"/>
    </font>
    <font>
      <b/>
      <sz val="11"/>
      <color rgb="FF3F3F3F"/>
      <name val="宋体"/>
      <family val="3"/>
      <charset val="134"/>
      <scheme val="minor"/>
    </font>
    <font>
      <sz val="11"/>
      <color rgb="FF3F3F76"/>
      <name val="宋体"/>
      <family val="3"/>
      <charset val="134"/>
      <scheme val="minor"/>
    </font>
    <font>
      <sz val="9"/>
      <name val="微软雅黑"/>
      <family val="2"/>
      <charset val="134"/>
    </font>
    <font>
      <b/>
      <sz val="9"/>
      <name val="微软雅黑"/>
      <family val="2"/>
      <charset val="134"/>
    </font>
    <font>
      <sz val="9"/>
      <color theme="1"/>
      <name val="宋体"/>
      <family val="2"/>
      <charset val="134"/>
      <scheme val="minor"/>
    </font>
    <font>
      <b/>
      <sz val="10"/>
      <color rgb="FF00B050"/>
      <name val="微软雅黑"/>
      <family val="2"/>
      <charset val="134"/>
    </font>
    <font>
      <b/>
      <sz val="10"/>
      <color rgb="FF7030A0"/>
      <name val="微软雅黑"/>
      <family val="2"/>
      <charset val="134"/>
    </font>
    <font>
      <sz val="9"/>
      <color indexed="81"/>
      <name val="Tahoma"/>
      <family val="2"/>
    </font>
    <font>
      <b/>
      <sz val="9"/>
      <color indexed="81"/>
      <name val="Tahoma"/>
      <family val="2"/>
    </font>
    <font>
      <sz val="9"/>
      <color indexed="81"/>
      <name val="宋体"/>
      <family val="3"/>
      <charset val="134"/>
    </font>
    <font>
      <b/>
      <sz val="9"/>
      <color indexed="81"/>
      <name val="宋体"/>
      <family val="3"/>
      <charset val="134"/>
    </font>
    <font>
      <sz val="12"/>
      <color theme="1"/>
      <name val="宋体"/>
      <family val="3"/>
      <charset val="134"/>
      <scheme val="minor"/>
    </font>
    <font>
      <sz val="12"/>
      <color theme="1"/>
      <name val="宋体"/>
      <family val="2"/>
      <charset val="136"/>
      <scheme val="minor"/>
    </font>
    <font>
      <sz val="11"/>
      <color theme="1"/>
      <name val="宋体"/>
      <family val="1"/>
      <charset val="136"/>
      <scheme val="minor"/>
    </font>
    <font>
      <sz val="12"/>
      <color theme="1"/>
      <name val="宋体"/>
      <family val="2"/>
      <charset val="134"/>
      <scheme val="minor"/>
    </font>
    <font>
      <sz val="10"/>
      <color theme="1"/>
      <name val="微軟正黑體"/>
      <family val="2"/>
      <charset val="136"/>
    </font>
    <font>
      <sz val="9"/>
      <name val="宋体"/>
      <family val="3"/>
      <charset val="134"/>
      <scheme val="minor"/>
    </font>
    <font>
      <u/>
      <sz val="11"/>
      <color theme="10"/>
      <name val="宋体"/>
      <family val="3"/>
      <charset val="134"/>
    </font>
    <font>
      <sz val="9"/>
      <name val="宋体"/>
      <family val="3"/>
      <charset val="136"/>
      <scheme val="minor"/>
    </font>
    <font>
      <b/>
      <sz val="10"/>
      <color theme="1"/>
      <name val="微软雅黑"/>
      <family val="2"/>
      <charset val="134"/>
    </font>
    <font>
      <sz val="10"/>
      <name val="微软雅黑"/>
      <family val="2"/>
      <charset val="134"/>
    </font>
    <font>
      <sz val="11"/>
      <name val="微软雅黑"/>
      <family val="2"/>
      <charset val="134"/>
    </font>
    <font>
      <b/>
      <sz val="10"/>
      <name val="微软雅黑"/>
      <family val="2"/>
      <charset val="134"/>
    </font>
    <font>
      <b/>
      <sz val="10"/>
      <color rgb="FFFF0000"/>
      <name val="微软雅黑"/>
      <family val="2"/>
      <charset val="134"/>
    </font>
    <font>
      <sz val="9"/>
      <name val="Tahoma"/>
      <family val="2"/>
      <charset val="134"/>
    </font>
    <font>
      <sz val="10"/>
      <color theme="1"/>
      <name val="微软雅黑"/>
      <family val="2"/>
      <charset val="134"/>
    </font>
    <font>
      <sz val="11"/>
      <color theme="1"/>
      <name val="微软雅黑"/>
      <family val="2"/>
      <charset val="134"/>
    </font>
    <font>
      <b/>
      <sz val="18"/>
      <color theme="3"/>
      <name val="宋体"/>
      <family val="2"/>
      <charset val="134"/>
      <scheme val="major"/>
    </font>
    <font>
      <b/>
      <sz val="15"/>
      <color theme="3"/>
      <name val="宋体"/>
      <family val="2"/>
      <charset val="134"/>
      <scheme val="minor"/>
    </font>
    <font>
      <b/>
      <sz val="13"/>
      <color theme="3"/>
      <name val="宋体"/>
      <family val="2"/>
      <charset val="134"/>
      <scheme val="minor"/>
    </font>
    <font>
      <b/>
      <sz val="11"/>
      <color theme="3"/>
      <name val="宋体"/>
      <family val="2"/>
      <charset val="134"/>
      <scheme val="minor"/>
    </font>
    <font>
      <sz val="11"/>
      <color rgb="FF006100"/>
      <name val="宋体"/>
      <family val="2"/>
      <charset val="134"/>
      <scheme val="minor"/>
    </font>
    <font>
      <sz val="11"/>
      <color rgb="FF9C0006"/>
      <name val="宋体"/>
      <family val="2"/>
      <charset val="134"/>
      <scheme val="minor"/>
    </font>
    <font>
      <sz val="11"/>
      <color rgb="FF9C6500"/>
      <name val="宋体"/>
      <family val="2"/>
      <charset val="134"/>
      <scheme val="minor"/>
    </font>
    <font>
      <sz val="11"/>
      <color rgb="FF3F3F76"/>
      <name val="宋体"/>
      <family val="2"/>
      <charset val="134"/>
      <scheme val="minor"/>
    </font>
    <font>
      <b/>
      <sz val="11"/>
      <color rgb="FF3F3F3F"/>
      <name val="宋体"/>
      <family val="2"/>
      <charset val="134"/>
      <scheme val="minor"/>
    </font>
    <font>
      <b/>
      <sz val="11"/>
      <color rgb="FFFA7D00"/>
      <name val="宋体"/>
      <family val="2"/>
      <charset val="134"/>
      <scheme val="minor"/>
    </font>
    <font>
      <sz val="11"/>
      <color rgb="FFFA7D00"/>
      <name val="宋体"/>
      <family val="2"/>
      <charset val="134"/>
      <scheme val="minor"/>
    </font>
    <font>
      <b/>
      <sz val="11"/>
      <color theme="0"/>
      <name val="宋体"/>
      <family val="2"/>
      <charset val="134"/>
      <scheme val="minor"/>
    </font>
    <font>
      <sz val="11"/>
      <color rgb="FFFF0000"/>
      <name val="宋体"/>
      <family val="2"/>
      <charset val="134"/>
      <scheme val="minor"/>
    </font>
    <font>
      <i/>
      <sz val="11"/>
      <color rgb="FF7F7F7F"/>
      <name val="宋体"/>
      <family val="2"/>
      <charset val="134"/>
      <scheme val="minor"/>
    </font>
    <font>
      <b/>
      <sz val="11"/>
      <color theme="1"/>
      <name val="宋体"/>
      <family val="2"/>
      <charset val="134"/>
      <scheme val="minor"/>
    </font>
    <font>
      <sz val="11"/>
      <color theme="0"/>
      <name val="宋体"/>
      <family val="2"/>
      <charset val="134"/>
      <scheme val="minor"/>
    </font>
    <font>
      <sz val="11"/>
      <color theme="1"/>
      <name val="宋体"/>
      <family val="2"/>
      <scheme val="minor"/>
    </font>
    <font>
      <sz val="12"/>
      <name val="宋体"/>
      <family val="3"/>
      <charset val="134"/>
    </font>
    <font>
      <sz val="18"/>
      <color indexed="54"/>
      <name val="宋体"/>
      <family val="3"/>
      <charset val="134"/>
    </font>
    <font>
      <b/>
      <sz val="11"/>
      <color indexed="54"/>
      <name val="宋体"/>
      <family val="3"/>
      <charset val="134"/>
    </font>
    <font>
      <b/>
      <sz val="15"/>
      <color indexed="54"/>
      <name val="宋体"/>
      <family val="3"/>
      <charset val="134"/>
    </font>
    <font>
      <sz val="11"/>
      <color indexed="20"/>
      <name val="宋体"/>
      <family val="3"/>
      <charset val="134"/>
    </font>
    <font>
      <b/>
      <sz val="13"/>
      <color indexed="54"/>
      <name val="宋体"/>
      <family val="3"/>
      <charset val="134"/>
    </font>
    <font>
      <sz val="11"/>
      <color theme="1"/>
      <name val="Tahoma"/>
      <family val="2"/>
    </font>
    <font>
      <sz val="12"/>
      <color rgb="FF3F3F76"/>
      <name val="宋体"/>
      <family val="2"/>
      <charset val="134"/>
      <scheme val="minor"/>
    </font>
    <font>
      <u/>
      <sz val="11"/>
      <color theme="10"/>
      <name val="Tahoma"/>
      <family val="2"/>
    </font>
    <font>
      <sz val="12"/>
      <color theme="1"/>
      <name val="宋体"/>
      <family val="2"/>
      <scheme val="minor"/>
    </font>
    <font>
      <sz val="11"/>
      <name val="宋体"/>
      <family val="2"/>
      <charset val="134"/>
      <scheme val="minor"/>
    </font>
    <font>
      <u/>
      <sz val="11"/>
      <name val="宋体"/>
      <family val="3"/>
      <charset val="134"/>
    </font>
    <font>
      <sz val="11"/>
      <name val="宋体"/>
      <family val="3"/>
      <charset val="134"/>
    </font>
    <font>
      <sz val="12"/>
      <name val="微软雅黑"/>
      <family val="2"/>
      <charset val="134"/>
    </font>
    <font>
      <sz val="11"/>
      <name val="微軟正黑體"/>
      <family val="2"/>
      <charset val="136"/>
    </font>
  </fonts>
  <fills count="72">
    <fill>
      <patternFill patternType="none"/>
    </fill>
    <fill>
      <patternFill patternType="gray125"/>
    </fill>
    <fill>
      <patternFill patternType="solid">
        <fgColor indexed="10"/>
        <bgColor indexed="64"/>
      </patternFill>
    </fill>
    <fill>
      <patternFill patternType="solid">
        <fgColor indexed="13"/>
        <bgColor indexed="64"/>
      </patternFill>
    </fill>
    <fill>
      <patternFill patternType="solid">
        <fgColor indexed="9"/>
        <bgColor indexed="64"/>
      </patternFill>
    </fill>
    <fill>
      <patternFill patternType="solid">
        <fgColor indexed="56"/>
        <bgColor indexed="64"/>
      </patternFill>
    </fill>
    <fill>
      <patternFill patternType="solid">
        <fgColor indexed="25"/>
        <bgColor indexed="64"/>
      </patternFill>
    </fill>
    <fill>
      <patternFill patternType="solid">
        <fgColor indexed="29"/>
        <bgColor indexed="64"/>
      </patternFill>
    </fill>
    <fill>
      <patternFill patternType="solid">
        <fgColor indexed="46"/>
        <bgColor indexed="64"/>
      </patternFill>
    </fill>
    <fill>
      <patternFill patternType="solid">
        <fgColor indexed="53"/>
        <bgColor indexed="64"/>
      </patternFill>
    </fill>
    <fill>
      <patternFill patternType="solid">
        <fgColor indexed="55"/>
        <bgColor indexed="64"/>
      </patternFill>
    </fill>
    <fill>
      <patternFill patternType="solid">
        <fgColor indexed="47"/>
        <bgColor indexed="64"/>
      </patternFill>
    </fill>
    <fill>
      <patternFill patternType="solid">
        <fgColor indexed="26"/>
        <bgColor indexed="64"/>
      </patternFill>
    </fill>
    <fill>
      <patternFill patternType="solid">
        <fgColor indexed="44"/>
        <bgColor indexed="64"/>
      </patternFill>
    </fill>
    <fill>
      <patternFill patternType="solid">
        <fgColor indexed="49"/>
        <bgColor indexed="64"/>
      </patternFill>
    </fill>
    <fill>
      <patternFill patternType="solid">
        <fgColor indexed="31"/>
        <bgColor indexed="64"/>
      </patternFill>
    </fill>
    <fill>
      <patternFill patternType="solid">
        <fgColor indexed="42"/>
        <bgColor indexed="64"/>
      </patternFill>
    </fill>
    <fill>
      <patternFill patternType="solid">
        <fgColor indexed="57"/>
        <bgColor indexed="64"/>
      </patternFill>
    </fill>
    <fill>
      <patternFill patternType="solid">
        <fgColor indexed="27"/>
        <bgColor indexed="64"/>
      </patternFill>
    </fill>
    <fill>
      <patternFill patternType="solid">
        <fgColor indexed="43"/>
        <bgColor indexed="64"/>
      </patternFill>
    </fill>
    <fill>
      <patternFill patternType="solid">
        <fgColor theme="0" tint="-0.499984740745262"/>
        <bgColor indexed="64"/>
      </patternFill>
    </fill>
    <fill>
      <patternFill patternType="solid">
        <fgColor rgb="FFFFFF00"/>
        <bgColor indexed="64"/>
      </patternFill>
    </fill>
    <fill>
      <patternFill patternType="solid">
        <fgColor theme="3" tint="-0.499984740745262"/>
        <bgColor indexed="64"/>
      </patternFill>
    </fill>
    <fill>
      <patternFill patternType="solid">
        <fgColor theme="0"/>
        <bgColor indexed="64"/>
      </patternFill>
    </fill>
    <fill>
      <patternFill patternType="solid">
        <fgColor rgb="FFFF0000"/>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rgb="FF002060"/>
        <bgColor indexed="64"/>
      </patternFill>
    </fill>
    <fill>
      <patternFill patternType="solid">
        <fgColor theme="6"/>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00B0F0"/>
        <bgColor indexed="64"/>
      </patternFill>
    </fill>
    <fill>
      <patternFill patternType="solid">
        <fgColor rgb="FFFFC000"/>
        <bgColor indexed="64"/>
      </patternFill>
    </fill>
    <fill>
      <patternFill patternType="solid">
        <fgColor indexed="22"/>
        <bgColor indexed="64"/>
      </patternFill>
    </fill>
    <fill>
      <patternFill patternType="solid">
        <fgColor indexed="45"/>
        <bgColor indexed="64"/>
      </patternFill>
    </fill>
    <fill>
      <patternFill patternType="solid">
        <fgColor indexed="51"/>
        <bgColor indexed="64"/>
      </patternFill>
    </fill>
    <fill>
      <patternFill patternType="solid">
        <fgColor indexed="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249977111117893"/>
        <bgColor indexed="64"/>
      </patternFill>
    </fill>
    <fill>
      <patternFill patternType="solid">
        <fgColor theme="7" tint="0.5999938962981048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style="thin">
        <color indexed="23"/>
      </left>
      <right style="thin">
        <color indexed="23"/>
      </right>
      <top style="thin">
        <color indexed="23"/>
      </top>
      <bottom style="thin">
        <color indexed="23"/>
      </bottom>
      <diagonal/>
    </border>
    <border>
      <left/>
      <right/>
      <top style="thin">
        <color indexed="49"/>
      </top>
      <bottom style="double">
        <color indexed="49"/>
      </bottom>
      <diagonal/>
    </border>
    <border>
      <left/>
      <right/>
      <top/>
      <bottom style="medium">
        <color indexed="44"/>
      </bottom>
      <diagonal/>
    </border>
    <border>
      <left style="thin">
        <color indexed="63"/>
      </left>
      <right style="thin">
        <color indexed="63"/>
      </right>
      <top style="thin">
        <color indexed="63"/>
      </top>
      <bottom style="thin">
        <color indexed="63"/>
      </bottom>
      <diagonal/>
    </border>
    <border>
      <left/>
      <right/>
      <top/>
      <bottom style="thick">
        <color indexed="4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hair">
        <color indexed="64"/>
      </left>
      <right style="hair">
        <color indexed="64"/>
      </right>
      <top style="hair">
        <color indexed="64"/>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medium">
        <color indexed="64"/>
      </bottom>
      <diagonal/>
    </border>
    <border>
      <left style="hair">
        <color indexed="64"/>
      </left>
      <right style="hair">
        <color indexed="64"/>
      </right>
      <top style="hair">
        <color indexed="64"/>
      </top>
      <bottom/>
      <diagonal/>
    </border>
  </borders>
  <cellStyleXfs count="749">
    <xf numFmtId="0" fontId="0" fillId="0" borderId="0">
      <alignment vertical="center"/>
    </xf>
    <xf numFmtId="0" fontId="9" fillId="6" borderId="0" applyNumberFormat="0" applyBorder="0" applyAlignment="0" applyProtection="0">
      <alignment vertical="center"/>
    </xf>
    <xf numFmtId="0" fontId="10" fillId="0" borderId="0" applyNumberFormat="0" applyFill="0" applyBorder="0" applyAlignment="0" applyProtection="0">
      <alignment vertical="center"/>
    </xf>
    <xf numFmtId="0" fontId="24" fillId="7"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15" fillId="11" borderId="6" applyNumberFormat="0" applyAlignment="0" applyProtection="0">
      <alignment vertical="center"/>
    </xf>
    <xf numFmtId="0" fontId="24" fillId="8" borderId="0" applyNumberFormat="0" applyBorder="0" applyAlignment="0" applyProtection="0">
      <alignment vertical="center"/>
    </xf>
    <xf numFmtId="0" fontId="24" fillId="18" borderId="0" applyNumberFormat="0" applyBorder="0" applyAlignment="0" applyProtection="0">
      <alignment vertical="center"/>
    </xf>
    <xf numFmtId="0" fontId="9" fillId="14" borderId="0" applyNumberFormat="0" applyBorder="0" applyAlignment="0" applyProtection="0">
      <alignment vertical="center"/>
    </xf>
    <xf numFmtId="0" fontId="24" fillId="11" borderId="0" applyNumberFormat="0" applyBorder="0" applyAlignment="0" applyProtection="0">
      <alignment vertical="center"/>
    </xf>
    <xf numFmtId="0" fontId="12" fillId="0" borderId="3" applyNumberFormat="0" applyFill="0" applyAlignment="0" applyProtection="0">
      <alignment vertical="center"/>
    </xf>
    <xf numFmtId="0" fontId="9" fillId="2" borderId="0" applyNumberFormat="0" applyBorder="0" applyAlignment="0" applyProtection="0">
      <alignment vertical="center"/>
    </xf>
    <xf numFmtId="0" fontId="24" fillId="13" borderId="0" applyNumberFormat="0" applyBorder="0" applyAlignment="0" applyProtection="0">
      <alignment vertical="center"/>
    </xf>
    <xf numFmtId="0" fontId="24" fillId="7" borderId="0" applyNumberFormat="0" applyBorder="0" applyAlignment="0" applyProtection="0">
      <alignment vertical="center"/>
    </xf>
    <xf numFmtId="0" fontId="24" fillId="16" borderId="0" applyNumberFormat="0" applyBorder="0" applyAlignment="0" applyProtection="0">
      <alignment vertical="center"/>
    </xf>
    <xf numFmtId="0" fontId="17" fillId="7" borderId="0" applyNumberFormat="0" applyBorder="0" applyAlignment="0" applyProtection="0">
      <alignment vertical="center"/>
    </xf>
    <xf numFmtId="0" fontId="24" fillId="8" borderId="0" applyNumberFormat="0" applyBorder="0" applyAlignment="0" applyProtection="0">
      <alignment vertical="center"/>
    </xf>
    <xf numFmtId="0" fontId="24" fillId="13" borderId="0" applyNumberFormat="0" applyBorder="0" applyAlignment="0" applyProtection="0">
      <alignment vertical="center"/>
    </xf>
    <xf numFmtId="0" fontId="24" fillId="11" borderId="0" applyNumberFormat="0" applyBorder="0" applyAlignment="0" applyProtection="0">
      <alignment vertical="center"/>
    </xf>
    <xf numFmtId="0" fontId="9" fillId="13" borderId="0" applyNumberFormat="0" applyBorder="0" applyAlignment="0" applyProtection="0">
      <alignment vertical="center"/>
    </xf>
    <xf numFmtId="0" fontId="19" fillId="0" borderId="8" applyNumberFormat="0" applyFill="0" applyAlignment="0" applyProtection="0">
      <alignment vertical="center"/>
    </xf>
    <xf numFmtId="0" fontId="9" fillId="7" borderId="0" applyNumberFormat="0" applyBorder="0" applyAlignment="0" applyProtection="0">
      <alignment vertical="center"/>
    </xf>
    <xf numFmtId="0" fontId="19"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9" fillId="16" borderId="0" applyNumberFormat="0" applyBorder="0" applyAlignment="0" applyProtection="0">
      <alignment vertical="center"/>
    </xf>
    <xf numFmtId="0" fontId="9" fillId="8" borderId="0" applyNumberFormat="0" applyBorder="0" applyAlignment="0" applyProtection="0">
      <alignment vertical="center"/>
    </xf>
    <xf numFmtId="0" fontId="21" fillId="4" borderId="9" applyNumberFormat="0" applyAlignment="0" applyProtection="0">
      <alignment vertical="center"/>
    </xf>
    <xf numFmtId="0" fontId="9" fillId="13" borderId="0" applyNumberFormat="0" applyBorder="0" applyAlignment="0" applyProtection="0">
      <alignment vertical="center"/>
    </xf>
    <xf numFmtId="0" fontId="9" fillId="11" borderId="0" applyNumberFormat="0" applyBorder="0" applyAlignment="0" applyProtection="0">
      <alignment vertical="center"/>
    </xf>
    <xf numFmtId="0" fontId="13" fillId="0" borderId="5" applyNumberFormat="0" applyFill="0" applyAlignment="0" applyProtection="0">
      <alignment vertical="center"/>
    </xf>
    <xf numFmtId="0" fontId="23" fillId="0" borderId="10" applyNumberFormat="0" applyFill="0" applyAlignment="0" applyProtection="0">
      <alignment vertical="center"/>
    </xf>
    <xf numFmtId="0" fontId="22" fillId="16" borderId="0" applyNumberFormat="0" applyBorder="0" applyAlignment="0" applyProtection="0">
      <alignment vertical="center"/>
    </xf>
    <xf numFmtId="0" fontId="16" fillId="0" borderId="7" applyNumberFormat="0" applyFill="0" applyAlignment="0" applyProtection="0">
      <alignment vertical="center"/>
    </xf>
    <xf numFmtId="0" fontId="20" fillId="4" borderId="6" applyNumberFormat="0" applyAlignment="0" applyProtection="0">
      <alignment vertical="center"/>
    </xf>
    <xf numFmtId="0" fontId="11" fillId="10" borderId="2" applyNumberFormat="0" applyAlignment="0" applyProtection="0">
      <alignment vertical="center"/>
    </xf>
    <xf numFmtId="0" fontId="18" fillId="0" borderId="0" applyNumberFormat="0" applyFill="0" applyBorder="0" applyAlignment="0" applyProtection="0">
      <alignment vertical="center"/>
    </xf>
    <xf numFmtId="0" fontId="9" fillId="17" borderId="0" applyNumberFormat="0" applyBorder="0" applyAlignment="0" applyProtection="0">
      <alignment vertical="center"/>
    </xf>
    <xf numFmtId="0" fontId="9" fillId="14" borderId="0" applyNumberFormat="0" applyBorder="0" applyAlignment="0" applyProtection="0">
      <alignment vertical="center"/>
    </xf>
    <xf numFmtId="0" fontId="9" fillId="9" borderId="0" applyNumberFormat="0" applyBorder="0" applyAlignment="0" applyProtection="0">
      <alignment vertical="center"/>
    </xf>
    <xf numFmtId="0" fontId="17" fillId="19" borderId="0" applyNumberFormat="0" applyBorder="0" applyAlignment="0" applyProtection="0">
      <alignment vertical="center"/>
    </xf>
    <xf numFmtId="0" fontId="24" fillId="12" borderId="4" applyNumberFormat="0" applyFont="0" applyAlignment="0" applyProtection="0">
      <alignment vertical="center"/>
    </xf>
    <xf numFmtId="0" fontId="39" fillId="0" borderId="0"/>
    <xf numFmtId="0" fontId="24" fillId="0" borderId="0">
      <alignment vertical="center"/>
    </xf>
    <xf numFmtId="0" fontId="9" fillId="6" borderId="0" applyNumberFormat="0" applyBorder="0" applyAlignment="0" applyProtection="0">
      <alignment vertical="center"/>
    </xf>
    <xf numFmtId="0" fontId="10" fillId="0" borderId="0" applyNumberFormat="0" applyFill="0" applyBorder="0" applyAlignment="0" applyProtection="0">
      <alignment vertical="center"/>
    </xf>
    <xf numFmtId="0" fontId="24" fillId="7"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15" fillId="11" borderId="6" applyNumberFormat="0" applyAlignment="0" applyProtection="0">
      <alignment vertical="center"/>
    </xf>
    <xf numFmtId="0" fontId="24" fillId="8" borderId="0" applyNumberFormat="0" applyBorder="0" applyAlignment="0" applyProtection="0">
      <alignment vertical="center"/>
    </xf>
    <xf numFmtId="0" fontId="24" fillId="18" borderId="0" applyNumberFormat="0" applyBorder="0" applyAlignment="0" applyProtection="0">
      <alignment vertical="center"/>
    </xf>
    <xf numFmtId="0" fontId="9" fillId="14" borderId="0" applyNumberFormat="0" applyBorder="0" applyAlignment="0" applyProtection="0">
      <alignment vertical="center"/>
    </xf>
    <xf numFmtId="0" fontId="24" fillId="11" borderId="0" applyNumberFormat="0" applyBorder="0" applyAlignment="0" applyProtection="0">
      <alignment vertical="center"/>
    </xf>
    <xf numFmtId="0" fontId="12" fillId="0" borderId="3" applyNumberFormat="0" applyFill="0" applyAlignment="0" applyProtection="0">
      <alignment vertical="center"/>
    </xf>
    <xf numFmtId="0" fontId="9" fillId="2" borderId="0" applyNumberFormat="0" applyBorder="0" applyAlignment="0" applyProtection="0">
      <alignment vertical="center"/>
    </xf>
    <xf numFmtId="0" fontId="24" fillId="13" borderId="0" applyNumberFormat="0" applyBorder="0" applyAlignment="0" applyProtection="0">
      <alignment vertical="center"/>
    </xf>
    <xf numFmtId="0" fontId="24" fillId="7" borderId="0" applyNumberFormat="0" applyBorder="0" applyAlignment="0" applyProtection="0">
      <alignment vertical="center"/>
    </xf>
    <xf numFmtId="0" fontId="24" fillId="16" borderId="0" applyNumberFormat="0" applyBorder="0" applyAlignment="0" applyProtection="0">
      <alignment vertical="center"/>
    </xf>
    <xf numFmtId="0" fontId="17" fillId="7" borderId="0" applyNumberFormat="0" applyBorder="0" applyAlignment="0" applyProtection="0">
      <alignment vertical="center"/>
    </xf>
    <xf numFmtId="0" fontId="24" fillId="8" borderId="0" applyNumberFormat="0" applyBorder="0" applyAlignment="0" applyProtection="0">
      <alignment vertical="center"/>
    </xf>
    <xf numFmtId="0" fontId="24" fillId="13" borderId="0" applyNumberFormat="0" applyBorder="0" applyAlignment="0" applyProtection="0">
      <alignment vertical="center"/>
    </xf>
    <xf numFmtId="0" fontId="24" fillId="11" borderId="0" applyNumberFormat="0" applyBorder="0" applyAlignment="0" applyProtection="0">
      <alignment vertical="center"/>
    </xf>
    <xf numFmtId="0" fontId="9" fillId="13" borderId="0" applyNumberFormat="0" applyBorder="0" applyAlignment="0" applyProtection="0">
      <alignment vertical="center"/>
    </xf>
    <xf numFmtId="0" fontId="19" fillId="0" borderId="8" applyNumberFormat="0" applyFill="0" applyAlignment="0" applyProtection="0">
      <alignment vertical="center"/>
    </xf>
    <xf numFmtId="0" fontId="9" fillId="7" borderId="0" applyNumberFormat="0" applyBorder="0" applyAlignment="0" applyProtection="0">
      <alignment vertical="center"/>
    </xf>
    <xf numFmtId="0" fontId="19"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9" fillId="16" borderId="0" applyNumberFormat="0" applyBorder="0" applyAlignment="0" applyProtection="0">
      <alignment vertical="center"/>
    </xf>
    <xf numFmtId="0" fontId="9" fillId="8" borderId="0" applyNumberFormat="0" applyBorder="0" applyAlignment="0" applyProtection="0">
      <alignment vertical="center"/>
    </xf>
    <xf numFmtId="0" fontId="21" fillId="4" borderId="9" applyNumberFormat="0" applyAlignment="0" applyProtection="0">
      <alignment vertical="center"/>
    </xf>
    <xf numFmtId="0" fontId="9" fillId="13" borderId="0" applyNumberFormat="0" applyBorder="0" applyAlignment="0" applyProtection="0">
      <alignment vertical="center"/>
    </xf>
    <xf numFmtId="0" fontId="9" fillId="11" borderId="0" applyNumberFormat="0" applyBorder="0" applyAlignment="0" applyProtection="0">
      <alignment vertical="center"/>
    </xf>
    <xf numFmtId="0" fontId="13" fillId="0" borderId="5" applyNumberFormat="0" applyFill="0" applyAlignment="0" applyProtection="0">
      <alignment vertical="center"/>
    </xf>
    <xf numFmtId="0" fontId="23" fillId="0" borderId="10" applyNumberFormat="0" applyFill="0" applyAlignment="0" applyProtection="0">
      <alignment vertical="center"/>
    </xf>
    <xf numFmtId="0" fontId="22" fillId="16" borderId="0" applyNumberFormat="0" applyBorder="0" applyAlignment="0" applyProtection="0">
      <alignment vertical="center"/>
    </xf>
    <xf numFmtId="0" fontId="16" fillId="0" borderId="7" applyNumberFormat="0" applyFill="0" applyAlignment="0" applyProtection="0">
      <alignment vertical="center"/>
    </xf>
    <xf numFmtId="0" fontId="20" fillId="4" borderId="6" applyNumberFormat="0" applyAlignment="0" applyProtection="0">
      <alignment vertical="center"/>
    </xf>
    <xf numFmtId="0" fontId="11" fillId="10" borderId="2" applyNumberFormat="0" applyAlignment="0" applyProtection="0">
      <alignment vertical="center"/>
    </xf>
    <xf numFmtId="0" fontId="18" fillId="0" borderId="0" applyNumberFormat="0" applyFill="0" applyBorder="0" applyAlignment="0" applyProtection="0">
      <alignment vertical="center"/>
    </xf>
    <xf numFmtId="0" fontId="9" fillId="17" borderId="0" applyNumberFormat="0" applyBorder="0" applyAlignment="0" applyProtection="0">
      <alignment vertical="center"/>
    </xf>
    <xf numFmtId="0" fontId="9" fillId="14" borderId="0" applyNumberFormat="0" applyBorder="0" applyAlignment="0" applyProtection="0">
      <alignment vertical="center"/>
    </xf>
    <xf numFmtId="0" fontId="9" fillId="9" borderId="0" applyNumberFormat="0" applyBorder="0" applyAlignment="0" applyProtection="0">
      <alignment vertical="center"/>
    </xf>
    <xf numFmtId="0" fontId="17" fillId="19" borderId="0" applyNumberFormat="0" applyBorder="0" applyAlignment="0" applyProtection="0">
      <alignment vertical="center"/>
    </xf>
    <xf numFmtId="0" fontId="24" fillId="12" borderId="4"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6" fillId="0" borderId="0">
      <alignment vertical="center"/>
    </xf>
    <xf numFmtId="0" fontId="45" fillId="0" borderId="0">
      <alignment vertical="center"/>
    </xf>
    <xf numFmtId="0" fontId="45" fillId="38" borderId="0" applyNumberFormat="0" applyBorder="0" applyAlignment="0" applyProtection="0">
      <alignment vertical="center"/>
    </xf>
    <xf numFmtId="0" fontId="45" fillId="42" borderId="0" applyNumberFormat="0" applyBorder="0" applyAlignment="0" applyProtection="0">
      <alignment vertical="center"/>
    </xf>
    <xf numFmtId="0" fontId="45" fillId="46" borderId="0" applyNumberFormat="0" applyBorder="0" applyAlignment="0" applyProtection="0">
      <alignment vertical="center"/>
    </xf>
    <xf numFmtId="0" fontId="45" fillId="50" borderId="0" applyNumberFormat="0" applyBorder="0" applyAlignment="0" applyProtection="0">
      <alignment vertical="center"/>
    </xf>
    <xf numFmtId="0" fontId="45" fillId="54" borderId="0" applyNumberFormat="0" applyBorder="0" applyAlignment="0" applyProtection="0">
      <alignment vertical="center"/>
    </xf>
    <xf numFmtId="0" fontId="45" fillId="58" borderId="0" applyNumberFormat="0" applyBorder="0" applyAlignment="0" applyProtection="0">
      <alignment vertical="center"/>
    </xf>
    <xf numFmtId="0" fontId="45" fillId="39" borderId="0" applyNumberFormat="0" applyBorder="0" applyAlignment="0" applyProtection="0">
      <alignment vertical="center"/>
    </xf>
    <xf numFmtId="0" fontId="45" fillId="43" borderId="0" applyNumberFormat="0" applyBorder="0" applyAlignment="0" applyProtection="0">
      <alignment vertical="center"/>
    </xf>
    <xf numFmtId="0" fontId="45" fillId="47" borderId="0" applyNumberFormat="0" applyBorder="0" applyAlignment="0" applyProtection="0">
      <alignment vertical="center"/>
    </xf>
    <xf numFmtId="0" fontId="45" fillId="51" borderId="0" applyNumberFormat="0" applyBorder="0" applyAlignment="0" applyProtection="0">
      <alignment vertical="center"/>
    </xf>
    <xf numFmtId="0" fontId="45" fillId="55" borderId="0" applyNumberFormat="0" applyBorder="0" applyAlignment="0" applyProtection="0">
      <alignment vertical="center"/>
    </xf>
    <xf numFmtId="0" fontId="45" fillId="59" borderId="0" applyNumberFormat="0" applyBorder="0" applyAlignment="0" applyProtection="0">
      <alignment vertical="center"/>
    </xf>
    <xf numFmtId="0" fontId="46" fillId="40" borderId="0" applyNumberFormat="0" applyBorder="0" applyAlignment="0" applyProtection="0">
      <alignment vertical="center"/>
    </xf>
    <xf numFmtId="0" fontId="46" fillId="44" borderId="0" applyNumberFormat="0" applyBorder="0" applyAlignment="0" applyProtection="0">
      <alignment vertical="center"/>
    </xf>
    <xf numFmtId="0" fontId="46" fillId="48" borderId="0" applyNumberFormat="0" applyBorder="0" applyAlignment="0" applyProtection="0">
      <alignment vertical="center"/>
    </xf>
    <xf numFmtId="0" fontId="46" fillId="52" borderId="0" applyNumberFormat="0" applyBorder="0" applyAlignment="0" applyProtection="0">
      <alignment vertical="center"/>
    </xf>
    <xf numFmtId="0" fontId="46" fillId="56" borderId="0" applyNumberFormat="0" applyBorder="0" applyAlignment="0" applyProtection="0">
      <alignment vertical="center"/>
    </xf>
    <xf numFmtId="0" fontId="46" fillId="60" borderId="0" applyNumberFormat="0" applyBorder="0" applyAlignment="0" applyProtection="0">
      <alignment vertical="center"/>
    </xf>
    <xf numFmtId="0" fontId="47" fillId="0" borderId="0" applyNumberFormat="0" applyFill="0" applyBorder="0" applyAlignment="0" applyProtection="0">
      <alignment vertical="center"/>
    </xf>
    <xf numFmtId="0" fontId="48" fillId="0" borderId="17" applyNumberFormat="0" applyFill="0" applyAlignment="0" applyProtection="0">
      <alignment vertical="center"/>
    </xf>
    <xf numFmtId="0" fontId="49" fillId="0" borderId="18" applyNumberFormat="0" applyFill="0" applyAlignment="0" applyProtection="0">
      <alignment vertical="center"/>
    </xf>
    <xf numFmtId="0" fontId="50" fillId="0" borderId="19" applyNumberFormat="0" applyFill="0" applyAlignment="0" applyProtection="0">
      <alignment vertical="center"/>
    </xf>
    <xf numFmtId="0" fontId="50" fillId="0" borderId="0" applyNumberFormat="0" applyFill="0" applyBorder="0" applyAlignment="0" applyProtection="0">
      <alignment vertical="center"/>
    </xf>
    <xf numFmtId="0" fontId="51" fillId="31" borderId="0" applyNumberFormat="0" applyBorder="0" applyAlignment="0" applyProtection="0">
      <alignment vertical="center"/>
    </xf>
    <xf numFmtId="0" fontId="45" fillId="0" borderId="0">
      <alignment vertical="center"/>
    </xf>
    <xf numFmtId="0" fontId="45" fillId="0" borderId="0"/>
    <xf numFmtId="0" fontId="52" fillId="30" borderId="0" applyNumberFormat="0" applyBorder="0" applyAlignment="0" applyProtection="0">
      <alignment vertical="center"/>
    </xf>
    <xf numFmtId="0" fontId="53" fillId="0" borderId="25" applyNumberFormat="0" applyFill="0" applyAlignment="0" applyProtection="0">
      <alignment vertical="center"/>
    </xf>
    <xf numFmtId="0" fontId="54" fillId="34" borderId="20" applyNumberFormat="0" applyAlignment="0" applyProtection="0">
      <alignment vertical="center"/>
    </xf>
    <xf numFmtId="0" fontId="55" fillId="35" borderId="23" applyNumberFormat="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22" applyNumberFormat="0" applyFill="0" applyAlignment="0" applyProtection="0">
      <alignment vertical="center"/>
    </xf>
    <xf numFmtId="0" fontId="46" fillId="37" borderId="0" applyNumberFormat="0" applyBorder="0" applyAlignment="0" applyProtection="0">
      <alignment vertical="center"/>
    </xf>
    <xf numFmtId="0" fontId="46" fillId="41" borderId="0" applyNumberFormat="0" applyBorder="0" applyAlignment="0" applyProtection="0">
      <alignment vertical="center"/>
    </xf>
    <xf numFmtId="0" fontId="46" fillId="45" borderId="0" applyNumberFormat="0" applyBorder="0" applyAlignment="0" applyProtection="0">
      <alignment vertical="center"/>
    </xf>
    <xf numFmtId="0" fontId="46" fillId="49" borderId="0" applyNumberFormat="0" applyBorder="0" applyAlignment="0" applyProtection="0">
      <alignment vertical="center"/>
    </xf>
    <xf numFmtId="0" fontId="46" fillId="53" borderId="0" applyNumberFormat="0" applyBorder="0" applyAlignment="0" applyProtection="0">
      <alignment vertical="center"/>
    </xf>
    <xf numFmtId="0" fontId="46" fillId="57" borderId="0" applyNumberFormat="0" applyBorder="0" applyAlignment="0" applyProtection="0">
      <alignment vertical="center"/>
    </xf>
    <xf numFmtId="0" fontId="59" fillId="32" borderId="0" applyNumberFormat="0" applyBorder="0" applyAlignment="0" applyProtection="0">
      <alignment vertical="center"/>
    </xf>
    <xf numFmtId="0" fontId="60" fillId="34" borderId="21" applyNumberFormat="0" applyAlignment="0" applyProtection="0">
      <alignment vertical="center"/>
    </xf>
    <xf numFmtId="0" fontId="61" fillId="33" borderId="20" applyNumberFormat="0" applyAlignment="0" applyProtection="0">
      <alignment vertical="center"/>
    </xf>
    <xf numFmtId="0" fontId="24" fillId="36" borderId="24" applyNumberFormat="0" applyFont="0" applyAlignment="0" applyProtection="0">
      <alignment vertical="center"/>
    </xf>
    <xf numFmtId="0" fontId="4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24" fillId="0" borderId="0">
      <alignment vertical="center"/>
    </xf>
    <xf numFmtId="0" fontId="24" fillId="0" borderId="0">
      <alignment vertical="center"/>
    </xf>
    <xf numFmtId="0" fontId="71" fillId="0" borderId="0">
      <alignment vertical="center"/>
    </xf>
    <xf numFmtId="0" fontId="45" fillId="0" borderId="0">
      <alignment vertical="center"/>
    </xf>
    <xf numFmtId="0" fontId="24" fillId="0" borderId="0">
      <alignment vertical="center"/>
    </xf>
    <xf numFmtId="0" fontId="24" fillId="0" borderId="0">
      <alignment vertical="center"/>
    </xf>
    <xf numFmtId="0" fontId="71" fillId="0" borderId="0">
      <alignment vertical="center"/>
    </xf>
    <xf numFmtId="0" fontId="39" fillId="0" borderId="0"/>
    <xf numFmtId="0" fontId="73" fillId="0" borderId="0">
      <alignment vertical="center"/>
    </xf>
    <xf numFmtId="0" fontId="72" fillId="0" borderId="0">
      <alignment vertical="center"/>
    </xf>
    <xf numFmtId="0" fontId="24" fillId="0" borderId="0">
      <alignment vertical="center"/>
    </xf>
    <xf numFmtId="0" fontId="9" fillId="6" borderId="0" applyNumberFormat="0" applyBorder="0" applyAlignment="0" applyProtection="0">
      <alignment vertical="center"/>
    </xf>
    <xf numFmtId="0" fontId="10" fillId="0" borderId="0" applyNumberFormat="0" applyFill="0" applyBorder="0" applyAlignment="0" applyProtection="0">
      <alignment vertical="center"/>
    </xf>
    <xf numFmtId="0" fontId="24" fillId="7"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15" fillId="11" borderId="6" applyNumberFormat="0" applyAlignment="0" applyProtection="0">
      <alignment vertical="center"/>
    </xf>
    <xf numFmtId="0" fontId="24" fillId="8" borderId="0" applyNumberFormat="0" applyBorder="0" applyAlignment="0" applyProtection="0">
      <alignment vertical="center"/>
    </xf>
    <xf numFmtId="0" fontId="24" fillId="18" borderId="0" applyNumberFormat="0" applyBorder="0" applyAlignment="0" applyProtection="0">
      <alignment vertical="center"/>
    </xf>
    <xf numFmtId="0" fontId="9" fillId="14" borderId="0" applyNumberFormat="0" applyBorder="0" applyAlignment="0" applyProtection="0">
      <alignment vertical="center"/>
    </xf>
    <xf numFmtId="0" fontId="24" fillId="11" borderId="0" applyNumberFormat="0" applyBorder="0" applyAlignment="0" applyProtection="0">
      <alignment vertical="center"/>
    </xf>
    <xf numFmtId="0" fontId="12" fillId="0" borderId="3" applyNumberFormat="0" applyFill="0" applyAlignment="0" applyProtection="0">
      <alignment vertical="center"/>
    </xf>
    <xf numFmtId="0" fontId="9" fillId="2" borderId="0" applyNumberFormat="0" applyBorder="0" applyAlignment="0" applyProtection="0">
      <alignment vertical="center"/>
    </xf>
    <xf numFmtId="0" fontId="24" fillId="13" borderId="0" applyNumberFormat="0" applyBorder="0" applyAlignment="0" applyProtection="0">
      <alignment vertical="center"/>
    </xf>
    <xf numFmtId="0" fontId="24" fillId="7" borderId="0" applyNumberFormat="0" applyBorder="0" applyAlignment="0" applyProtection="0">
      <alignment vertical="center"/>
    </xf>
    <xf numFmtId="0" fontId="24" fillId="16" borderId="0" applyNumberFormat="0" applyBorder="0" applyAlignment="0" applyProtection="0">
      <alignment vertical="center"/>
    </xf>
    <xf numFmtId="0" fontId="17" fillId="7" borderId="0" applyNumberFormat="0" applyBorder="0" applyAlignment="0" applyProtection="0">
      <alignment vertical="center"/>
    </xf>
    <xf numFmtId="0" fontId="24" fillId="8" borderId="0" applyNumberFormat="0" applyBorder="0" applyAlignment="0" applyProtection="0">
      <alignment vertical="center"/>
    </xf>
    <xf numFmtId="0" fontId="24" fillId="13" borderId="0" applyNumberFormat="0" applyBorder="0" applyAlignment="0" applyProtection="0">
      <alignment vertical="center"/>
    </xf>
    <xf numFmtId="0" fontId="24" fillId="11" borderId="0" applyNumberFormat="0" applyBorder="0" applyAlignment="0" applyProtection="0">
      <alignment vertical="center"/>
    </xf>
    <xf numFmtId="0" fontId="9" fillId="13" borderId="0" applyNumberFormat="0" applyBorder="0" applyAlignment="0" applyProtection="0">
      <alignment vertical="center"/>
    </xf>
    <xf numFmtId="0" fontId="19" fillId="0" borderId="8" applyNumberFormat="0" applyFill="0" applyAlignment="0" applyProtection="0">
      <alignment vertical="center"/>
    </xf>
    <xf numFmtId="0" fontId="9" fillId="7" borderId="0" applyNumberFormat="0" applyBorder="0" applyAlignment="0" applyProtection="0">
      <alignment vertical="center"/>
    </xf>
    <xf numFmtId="0" fontId="19"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9" fillId="16" borderId="0" applyNumberFormat="0" applyBorder="0" applyAlignment="0" applyProtection="0">
      <alignment vertical="center"/>
    </xf>
    <xf numFmtId="0" fontId="9" fillId="8" borderId="0" applyNumberFormat="0" applyBorder="0" applyAlignment="0" applyProtection="0">
      <alignment vertical="center"/>
    </xf>
    <xf numFmtId="0" fontId="21" fillId="4" borderId="9" applyNumberFormat="0" applyAlignment="0" applyProtection="0">
      <alignment vertical="center"/>
    </xf>
    <xf numFmtId="0" fontId="9" fillId="13" borderId="0" applyNumberFormat="0" applyBorder="0" applyAlignment="0" applyProtection="0">
      <alignment vertical="center"/>
    </xf>
    <xf numFmtId="0" fontId="9" fillId="11" borderId="0" applyNumberFormat="0" applyBorder="0" applyAlignment="0" applyProtection="0">
      <alignment vertical="center"/>
    </xf>
    <xf numFmtId="0" fontId="13" fillId="0" borderId="5" applyNumberFormat="0" applyFill="0" applyAlignment="0" applyProtection="0">
      <alignment vertical="center"/>
    </xf>
    <xf numFmtId="0" fontId="23" fillId="0" borderId="10" applyNumberFormat="0" applyFill="0" applyAlignment="0" applyProtection="0">
      <alignment vertical="center"/>
    </xf>
    <xf numFmtId="0" fontId="22" fillId="16" borderId="0" applyNumberFormat="0" applyBorder="0" applyAlignment="0" applyProtection="0">
      <alignment vertical="center"/>
    </xf>
    <xf numFmtId="0" fontId="16" fillId="0" borderId="7" applyNumberFormat="0" applyFill="0" applyAlignment="0" applyProtection="0">
      <alignment vertical="center"/>
    </xf>
    <xf numFmtId="0" fontId="20" fillId="4" borderId="6" applyNumberFormat="0" applyAlignment="0" applyProtection="0">
      <alignment vertical="center"/>
    </xf>
    <xf numFmtId="0" fontId="11" fillId="10" borderId="2" applyNumberFormat="0" applyAlignment="0" applyProtection="0">
      <alignment vertical="center"/>
    </xf>
    <xf numFmtId="0" fontId="18" fillId="0" borderId="0" applyNumberFormat="0" applyFill="0" applyBorder="0" applyAlignment="0" applyProtection="0">
      <alignment vertical="center"/>
    </xf>
    <xf numFmtId="0" fontId="9" fillId="17" borderId="0" applyNumberFormat="0" applyBorder="0" applyAlignment="0" applyProtection="0">
      <alignment vertical="center"/>
    </xf>
    <xf numFmtId="0" fontId="9" fillId="14" borderId="0" applyNumberFormat="0" applyBorder="0" applyAlignment="0" applyProtection="0">
      <alignment vertical="center"/>
    </xf>
    <xf numFmtId="0" fontId="9" fillId="9" borderId="0" applyNumberFormat="0" applyBorder="0" applyAlignment="0" applyProtection="0">
      <alignment vertical="center"/>
    </xf>
    <xf numFmtId="0" fontId="17" fillId="19" borderId="0" applyNumberFormat="0" applyBorder="0" applyAlignment="0" applyProtection="0">
      <alignment vertical="center"/>
    </xf>
    <xf numFmtId="0" fontId="24" fillId="12" borderId="4" applyNumberFormat="0" applyFont="0" applyAlignment="0" applyProtection="0">
      <alignment vertical="center"/>
    </xf>
    <xf numFmtId="0" fontId="39" fillId="0" borderId="0"/>
    <xf numFmtId="0" fontId="2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5" fillId="0" borderId="0">
      <alignment vertical="center"/>
    </xf>
    <xf numFmtId="0" fontId="4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4" fillId="0" borderId="0">
      <alignment vertical="center"/>
    </xf>
    <xf numFmtId="0" fontId="77" fillId="0" borderId="0" applyNumberFormat="0" applyFill="0" applyBorder="0" applyAlignment="0" applyProtection="0">
      <alignment vertical="top"/>
      <protection locked="0"/>
    </xf>
    <xf numFmtId="9" fontId="39" fillId="0" borderId="0" applyFont="0" applyFill="0" applyBorder="0" applyAlignment="0" applyProtection="0">
      <alignment vertical="center"/>
    </xf>
    <xf numFmtId="0" fontId="87" fillId="0" borderId="0" applyNumberFormat="0" applyFill="0" applyBorder="0" applyAlignment="0" applyProtection="0">
      <alignment vertical="center"/>
    </xf>
    <xf numFmtId="0" fontId="88" fillId="0" borderId="17" applyNumberFormat="0" applyFill="0" applyAlignment="0" applyProtection="0">
      <alignment vertical="center"/>
    </xf>
    <xf numFmtId="0" fontId="89" fillId="0" borderId="18" applyNumberFormat="0" applyFill="0" applyAlignment="0" applyProtection="0">
      <alignment vertical="center"/>
    </xf>
    <xf numFmtId="0" fontId="90" fillId="0" borderId="19" applyNumberFormat="0" applyFill="0" applyAlignment="0" applyProtection="0">
      <alignment vertical="center"/>
    </xf>
    <xf numFmtId="0" fontId="90" fillId="0" borderId="0" applyNumberFormat="0" applyFill="0" applyBorder="0" applyAlignment="0" applyProtection="0">
      <alignment vertical="center"/>
    </xf>
    <xf numFmtId="0" fontId="91" fillId="30" borderId="0" applyNumberFormat="0" applyBorder="0" applyAlignment="0" applyProtection="0">
      <alignment vertical="center"/>
    </xf>
    <xf numFmtId="0" fontId="92" fillId="31" borderId="0" applyNumberFormat="0" applyBorder="0" applyAlignment="0" applyProtection="0">
      <alignment vertical="center"/>
    </xf>
    <xf numFmtId="0" fontId="93" fillId="32" borderId="0" applyNumberFormat="0" applyBorder="0" applyAlignment="0" applyProtection="0">
      <alignment vertical="center"/>
    </xf>
    <xf numFmtId="0" fontId="94" fillId="33" borderId="20" applyNumberFormat="0" applyAlignment="0" applyProtection="0">
      <alignment vertical="center"/>
    </xf>
    <xf numFmtId="0" fontId="95" fillId="34" borderId="21" applyNumberFormat="0" applyAlignment="0" applyProtection="0">
      <alignment vertical="center"/>
    </xf>
    <xf numFmtId="0" fontId="96" fillId="34" borderId="20" applyNumberFormat="0" applyAlignment="0" applyProtection="0">
      <alignment vertical="center"/>
    </xf>
    <xf numFmtId="0" fontId="97" fillId="0" borderId="22" applyNumberFormat="0" applyFill="0" applyAlignment="0" applyProtection="0">
      <alignment vertical="center"/>
    </xf>
    <xf numFmtId="0" fontId="98" fillId="35" borderId="23" applyNumberFormat="0" applyAlignment="0" applyProtection="0">
      <alignment vertical="center"/>
    </xf>
    <xf numFmtId="0" fontId="99"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1" fillId="0" borderId="25" applyNumberFormat="0" applyFill="0" applyAlignment="0" applyProtection="0">
      <alignment vertical="center"/>
    </xf>
    <xf numFmtId="0" fontId="102" fillId="37" borderId="0" applyNumberFormat="0" applyBorder="0" applyAlignment="0" applyProtection="0">
      <alignment vertical="center"/>
    </xf>
    <xf numFmtId="0" fontId="1" fillId="38" borderId="0" applyNumberFormat="0" applyBorder="0" applyAlignment="0" applyProtection="0">
      <alignment vertical="center"/>
    </xf>
    <xf numFmtId="0" fontId="1" fillId="39" borderId="0" applyNumberFormat="0" applyBorder="0" applyAlignment="0" applyProtection="0">
      <alignment vertical="center"/>
    </xf>
    <xf numFmtId="0" fontId="102" fillId="40" borderId="0" applyNumberFormat="0" applyBorder="0" applyAlignment="0" applyProtection="0">
      <alignment vertical="center"/>
    </xf>
    <xf numFmtId="0" fontId="102" fillId="41" borderId="0" applyNumberFormat="0" applyBorder="0" applyAlignment="0" applyProtection="0">
      <alignment vertical="center"/>
    </xf>
    <xf numFmtId="0" fontId="1" fillId="42" borderId="0" applyNumberFormat="0" applyBorder="0" applyAlignment="0" applyProtection="0">
      <alignment vertical="center"/>
    </xf>
    <xf numFmtId="0" fontId="1" fillId="43" borderId="0" applyNumberFormat="0" applyBorder="0" applyAlignment="0" applyProtection="0">
      <alignment vertical="center"/>
    </xf>
    <xf numFmtId="0" fontId="102" fillId="44" borderId="0" applyNumberFormat="0" applyBorder="0" applyAlignment="0" applyProtection="0">
      <alignment vertical="center"/>
    </xf>
    <xf numFmtId="0" fontId="102" fillId="45" borderId="0" applyNumberFormat="0" applyBorder="0" applyAlignment="0" applyProtection="0">
      <alignment vertical="center"/>
    </xf>
    <xf numFmtId="0" fontId="1" fillId="46" borderId="0" applyNumberFormat="0" applyBorder="0" applyAlignment="0" applyProtection="0">
      <alignment vertical="center"/>
    </xf>
    <xf numFmtId="0" fontId="1" fillId="47" borderId="0" applyNumberFormat="0" applyBorder="0" applyAlignment="0" applyProtection="0">
      <alignment vertical="center"/>
    </xf>
    <xf numFmtId="0" fontId="102" fillId="48" borderId="0" applyNumberFormat="0" applyBorder="0" applyAlignment="0" applyProtection="0">
      <alignment vertical="center"/>
    </xf>
    <xf numFmtId="0" fontId="102" fillId="49" borderId="0" applyNumberFormat="0" applyBorder="0" applyAlignment="0" applyProtection="0">
      <alignment vertical="center"/>
    </xf>
    <xf numFmtId="0" fontId="1" fillId="50" borderId="0" applyNumberFormat="0" applyBorder="0" applyAlignment="0" applyProtection="0">
      <alignment vertical="center"/>
    </xf>
    <xf numFmtId="0" fontId="1" fillId="51" borderId="0" applyNumberFormat="0" applyBorder="0" applyAlignment="0" applyProtection="0">
      <alignment vertical="center"/>
    </xf>
    <xf numFmtId="0" fontId="102" fillId="52" borderId="0" applyNumberFormat="0" applyBorder="0" applyAlignment="0" applyProtection="0">
      <alignment vertical="center"/>
    </xf>
    <xf numFmtId="0" fontId="102" fillId="53" borderId="0" applyNumberFormat="0" applyBorder="0" applyAlignment="0" applyProtection="0">
      <alignment vertical="center"/>
    </xf>
    <xf numFmtId="0" fontId="1" fillId="54" borderId="0" applyNumberFormat="0" applyBorder="0" applyAlignment="0" applyProtection="0">
      <alignment vertical="center"/>
    </xf>
    <xf numFmtId="0" fontId="1" fillId="55" borderId="0" applyNumberFormat="0" applyBorder="0" applyAlignment="0" applyProtection="0">
      <alignment vertical="center"/>
    </xf>
    <xf numFmtId="0" fontId="102" fillId="56" borderId="0" applyNumberFormat="0" applyBorder="0" applyAlignment="0" applyProtection="0">
      <alignment vertical="center"/>
    </xf>
    <xf numFmtId="0" fontId="102" fillId="57" borderId="0" applyNumberFormat="0" applyBorder="0" applyAlignment="0" applyProtection="0">
      <alignment vertical="center"/>
    </xf>
    <xf numFmtId="0" fontId="1" fillId="58" borderId="0" applyNumberFormat="0" applyBorder="0" applyAlignment="0" applyProtection="0">
      <alignment vertical="center"/>
    </xf>
    <xf numFmtId="0" fontId="1" fillId="59" borderId="0" applyNumberFormat="0" applyBorder="0" applyAlignment="0" applyProtection="0">
      <alignment vertical="center"/>
    </xf>
    <xf numFmtId="0" fontId="102" fillId="60" borderId="0" applyNumberFormat="0" applyBorder="0" applyAlignment="0" applyProtection="0">
      <alignment vertical="center"/>
    </xf>
    <xf numFmtId="0" fontId="1" fillId="0" borderId="0">
      <alignment vertical="center"/>
    </xf>
    <xf numFmtId="0" fontId="1" fillId="36" borderId="24" applyNumberFormat="0" applyFont="0" applyAlignment="0" applyProtection="0">
      <alignment vertical="center"/>
    </xf>
    <xf numFmtId="177" fontId="103" fillId="0" borderId="0"/>
    <xf numFmtId="0" fontId="1" fillId="0" borderId="0">
      <alignment vertical="center"/>
    </xf>
    <xf numFmtId="0" fontId="1" fillId="36" borderId="24" applyNumberFormat="0" applyFont="0" applyAlignment="0" applyProtection="0">
      <alignment vertical="center"/>
    </xf>
    <xf numFmtId="0" fontId="1" fillId="38" borderId="0" applyNumberFormat="0" applyBorder="0" applyAlignment="0" applyProtection="0">
      <alignment vertical="center"/>
    </xf>
    <xf numFmtId="0" fontId="1" fillId="39" borderId="0" applyNumberFormat="0" applyBorder="0" applyAlignment="0" applyProtection="0">
      <alignment vertical="center"/>
    </xf>
    <xf numFmtId="0" fontId="1" fillId="42" borderId="0" applyNumberFormat="0" applyBorder="0" applyAlignment="0" applyProtection="0">
      <alignment vertical="center"/>
    </xf>
    <xf numFmtId="0" fontId="1" fillId="43" borderId="0" applyNumberFormat="0" applyBorder="0" applyAlignment="0" applyProtection="0">
      <alignment vertical="center"/>
    </xf>
    <xf numFmtId="0" fontId="1" fillId="46" borderId="0" applyNumberFormat="0" applyBorder="0" applyAlignment="0" applyProtection="0">
      <alignment vertical="center"/>
    </xf>
    <xf numFmtId="0" fontId="1" fillId="47" borderId="0" applyNumberFormat="0" applyBorder="0" applyAlignment="0" applyProtection="0">
      <alignment vertical="center"/>
    </xf>
    <xf numFmtId="0" fontId="1" fillId="50" borderId="0" applyNumberFormat="0" applyBorder="0" applyAlignment="0" applyProtection="0">
      <alignment vertical="center"/>
    </xf>
    <xf numFmtId="0" fontId="1" fillId="51" borderId="0" applyNumberFormat="0" applyBorder="0" applyAlignment="0" applyProtection="0">
      <alignment vertical="center"/>
    </xf>
    <xf numFmtId="0" fontId="1" fillId="54" borderId="0" applyNumberFormat="0" applyBorder="0" applyAlignment="0" applyProtection="0">
      <alignment vertical="center"/>
    </xf>
    <xf numFmtId="0" fontId="1" fillId="55" borderId="0" applyNumberFormat="0" applyBorder="0" applyAlignment="0" applyProtection="0">
      <alignment vertical="center"/>
    </xf>
    <xf numFmtId="0" fontId="1" fillId="58" borderId="0" applyNumberFormat="0" applyBorder="0" applyAlignment="0" applyProtection="0">
      <alignment vertical="center"/>
    </xf>
    <xf numFmtId="0" fontId="1" fillId="59" borderId="0" applyNumberFormat="0" applyBorder="0" applyAlignment="0" applyProtection="0">
      <alignment vertical="center"/>
    </xf>
    <xf numFmtId="0" fontId="104" fillId="0" borderId="0">
      <alignment vertical="center"/>
    </xf>
    <xf numFmtId="0" fontId="24" fillId="18" borderId="0" applyNumberFormat="0" applyBorder="0" applyAlignment="0" applyProtection="0">
      <alignment vertical="center"/>
    </xf>
    <xf numFmtId="0" fontId="45" fillId="38" borderId="0" applyNumberFormat="0" applyBorder="0" applyAlignment="0" applyProtection="0">
      <alignment vertical="center"/>
    </xf>
    <xf numFmtId="0" fontId="24" fillId="11" borderId="0" applyNumberFormat="0" applyBorder="0" applyAlignment="0" applyProtection="0">
      <alignment vertical="center"/>
    </xf>
    <xf numFmtId="0" fontId="45" fillId="42" borderId="0" applyNumberFormat="0" applyBorder="0" applyAlignment="0" applyProtection="0">
      <alignment vertical="center"/>
    </xf>
    <xf numFmtId="0" fontId="24" fillId="4" borderId="0" applyNumberFormat="0" applyBorder="0" applyAlignment="0" applyProtection="0">
      <alignment vertical="center"/>
    </xf>
    <xf numFmtId="0" fontId="45" fillId="46" borderId="0" applyNumberFormat="0" applyBorder="0" applyAlignment="0" applyProtection="0">
      <alignment vertical="center"/>
    </xf>
    <xf numFmtId="0" fontId="24" fillId="12" borderId="0" applyNumberFormat="0" applyBorder="0" applyAlignment="0" applyProtection="0">
      <alignment vertical="center"/>
    </xf>
    <xf numFmtId="0" fontId="45" fillId="50" borderId="0" applyNumberFormat="0" applyBorder="0" applyAlignment="0" applyProtection="0">
      <alignment vertical="center"/>
    </xf>
    <xf numFmtId="0" fontId="24" fillId="15" borderId="0" applyNumberFormat="0" applyBorder="0" applyAlignment="0" applyProtection="0">
      <alignment vertical="center"/>
    </xf>
    <xf numFmtId="0" fontId="45" fillId="54" borderId="0" applyNumberFormat="0" applyBorder="0" applyAlignment="0" applyProtection="0">
      <alignment vertical="center"/>
    </xf>
    <xf numFmtId="0" fontId="24" fillId="16" borderId="0" applyNumberFormat="0" applyBorder="0" applyAlignment="0" applyProtection="0">
      <alignment vertical="center"/>
    </xf>
    <xf numFmtId="0" fontId="45" fillId="58" borderId="0" applyNumberFormat="0" applyBorder="0" applyAlignment="0" applyProtection="0">
      <alignment vertical="center"/>
    </xf>
    <xf numFmtId="0" fontId="24" fillId="13" borderId="0" applyNumberFormat="0" applyBorder="0" applyAlignment="0" applyProtection="0">
      <alignment vertical="center"/>
    </xf>
    <xf numFmtId="0" fontId="45" fillId="39" borderId="0" applyNumberFormat="0" applyBorder="0" applyAlignment="0" applyProtection="0">
      <alignment vertical="center"/>
    </xf>
    <xf numFmtId="0" fontId="24" fillId="11" borderId="0" applyNumberFormat="0" applyBorder="0" applyAlignment="0" applyProtection="0">
      <alignment vertical="center"/>
    </xf>
    <xf numFmtId="0" fontId="45" fillId="43" borderId="0" applyNumberFormat="0" applyBorder="0" applyAlignment="0" applyProtection="0">
      <alignment vertical="center"/>
    </xf>
    <xf numFmtId="0" fontId="24" fillId="64" borderId="0" applyNumberFormat="0" applyBorder="0" applyAlignment="0" applyProtection="0">
      <alignment vertical="center"/>
    </xf>
    <xf numFmtId="0" fontId="45" fillId="47" borderId="0" applyNumberFormat="0" applyBorder="0" applyAlignment="0" applyProtection="0">
      <alignment vertical="center"/>
    </xf>
    <xf numFmtId="0" fontId="24" fillId="19" borderId="0" applyNumberFormat="0" applyBorder="0" applyAlignment="0" applyProtection="0">
      <alignment vertical="center"/>
    </xf>
    <xf numFmtId="0" fontId="45" fillId="51" borderId="0" applyNumberFormat="0" applyBorder="0" applyAlignment="0" applyProtection="0">
      <alignment vertical="center"/>
    </xf>
    <xf numFmtId="0" fontId="24" fillId="13" borderId="0" applyNumberFormat="0" applyBorder="0" applyAlignment="0" applyProtection="0">
      <alignment vertical="center"/>
    </xf>
    <xf numFmtId="0" fontId="45" fillId="55" borderId="0" applyNumberFormat="0" applyBorder="0" applyAlignment="0" applyProtection="0">
      <alignment vertical="center"/>
    </xf>
    <xf numFmtId="0" fontId="24" fillId="19" borderId="0" applyNumberFormat="0" applyBorder="0" applyAlignment="0" applyProtection="0">
      <alignment vertical="center"/>
    </xf>
    <xf numFmtId="0" fontId="45" fillId="59" borderId="0" applyNumberFormat="0" applyBorder="0" applyAlignment="0" applyProtection="0">
      <alignment vertical="center"/>
    </xf>
    <xf numFmtId="0" fontId="9" fillId="11" borderId="0" applyNumberFormat="0" applyBorder="0" applyAlignment="0" applyProtection="0">
      <alignment vertical="center"/>
    </xf>
    <xf numFmtId="0" fontId="9" fillId="64" borderId="0" applyNumberFormat="0" applyBorder="0" applyAlignment="0" applyProtection="0">
      <alignment vertical="center"/>
    </xf>
    <xf numFmtId="0" fontId="9" fillId="19" borderId="0" applyNumberFormat="0" applyBorder="0" applyAlignment="0" applyProtection="0">
      <alignment vertical="center"/>
    </xf>
    <xf numFmtId="0" fontId="9" fillId="14" borderId="0" applyNumberFormat="0" applyBorder="0" applyAlignment="0" applyProtection="0">
      <alignment vertical="center"/>
    </xf>
    <xf numFmtId="0" fontId="9" fillId="17" borderId="0" applyNumberFormat="0" applyBorder="0" applyAlignment="0" applyProtection="0">
      <alignment vertical="center"/>
    </xf>
    <xf numFmtId="0" fontId="105" fillId="0" borderId="0" applyNumberFormat="0" applyFill="0" applyBorder="0" applyAlignment="0" applyProtection="0">
      <alignment vertical="center"/>
    </xf>
    <xf numFmtId="0" fontId="107" fillId="0" borderId="5" applyNumberFormat="0" applyFill="0" applyAlignment="0" applyProtection="0">
      <alignment vertical="center"/>
    </xf>
    <xf numFmtId="0" fontId="109" fillId="0" borderId="10" applyNumberFormat="0" applyFill="0" applyAlignment="0" applyProtection="0">
      <alignment vertical="center"/>
    </xf>
    <xf numFmtId="0" fontId="106" fillId="0" borderId="8" applyNumberFormat="0" applyFill="0" applyAlignment="0" applyProtection="0">
      <alignment vertical="center"/>
    </xf>
    <xf numFmtId="0" fontId="106" fillId="0" borderId="0" applyNumberFormat="0" applyFill="0" applyBorder="0" applyAlignment="0" applyProtection="0">
      <alignment vertical="center"/>
    </xf>
    <xf numFmtId="0" fontId="108" fillId="65" borderId="0" applyNumberFormat="0" applyBorder="0" applyAlignment="0" applyProtection="0">
      <alignment vertical="center"/>
    </xf>
    <xf numFmtId="177" fontId="45" fillId="0" borderId="0"/>
    <xf numFmtId="0" fontId="45" fillId="0" borderId="0">
      <alignment vertical="center"/>
    </xf>
    <xf numFmtId="0" fontId="110" fillId="0" borderId="0"/>
    <xf numFmtId="0" fontId="20" fillId="64" borderId="6" applyNumberFormat="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66" borderId="0" applyNumberFormat="0" applyBorder="0" applyAlignment="0" applyProtection="0">
      <alignment vertical="center"/>
    </xf>
    <xf numFmtId="0" fontId="9" fillId="67" borderId="0" applyNumberFormat="0" applyBorder="0" applyAlignment="0" applyProtection="0">
      <alignment vertical="center"/>
    </xf>
    <xf numFmtId="0" fontId="9" fillId="17" borderId="0" applyNumberFormat="0" applyBorder="0" applyAlignment="0" applyProtection="0">
      <alignment vertical="center"/>
    </xf>
    <xf numFmtId="0" fontId="21" fillId="64" borderId="9" applyNumberFormat="0" applyAlignment="0" applyProtection="0">
      <alignment vertical="center"/>
    </xf>
    <xf numFmtId="0" fontId="104" fillId="12" borderId="4" applyNumberFormat="0" applyFont="0" applyAlignment="0" applyProtection="0">
      <alignment vertical="center"/>
    </xf>
    <xf numFmtId="0" fontId="45" fillId="36" borderId="24" applyNumberFormat="0" applyFont="0" applyAlignment="0" applyProtection="0">
      <alignment vertical="center"/>
    </xf>
    <xf numFmtId="0" fontId="45" fillId="36" borderId="24" applyNumberFormat="0" applyFont="0" applyAlignment="0" applyProtection="0">
      <alignment vertical="center"/>
    </xf>
    <xf numFmtId="0" fontId="106" fillId="0" borderId="8" applyNumberFormat="0" applyFill="0" applyAlignment="0" applyProtection="0">
      <alignment vertical="center"/>
    </xf>
    <xf numFmtId="0" fontId="1" fillId="38" borderId="0" applyNumberFormat="0" applyBorder="0" applyAlignment="0" applyProtection="0">
      <alignment vertical="center"/>
    </xf>
    <xf numFmtId="0" fontId="1" fillId="39" borderId="0" applyNumberFormat="0" applyBorder="0" applyAlignment="0" applyProtection="0">
      <alignment vertical="center"/>
    </xf>
    <xf numFmtId="0" fontId="1" fillId="42" borderId="0" applyNumberFormat="0" applyBorder="0" applyAlignment="0" applyProtection="0">
      <alignment vertical="center"/>
    </xf>
    <xf numFmtId="0" fontId="1" fillId="43" borderId="0" applyNumberFormat="0" applyBorder="0" applyAlignment="0" applyProtection="0">
      <alignment vertical="center"/>
    </xf>
    <xf numFmtId="0" fontId="1" fillId="46" borderId="0" applyNumberFormat="0" applyBorder="0" applyAlignment="0" applyProtection="0">
      <alignment vertical="center"/>
    </xf>
    <xf numFmtId="0" fontId="1" fillId="47" borderId="0" applyNumberFormat="0" applyBorder="0" applyAlignment="0" applyProtection="0">
      <alignment vertical="center"/>
    </xf>
    <xf numFmtId="0" fontId="1" fillId="50" borderId="0" applyNumberFormat="0" applyBorder="0" applyAlignment="0" applyProtection="0">
      <alignment vertical="center"/>
    </xf>
    <xf numFmtId="0" fontId="1" fillId="51" borderId="0" applyNumberFormat="0" applyBorder="0" applyAlignment="0" applyProtection="0">
      <alignment vertical="center"/>
    </xf>
    <xf numFmtId="0" fontId="1" fillId="54" borderId="0" applyNumberFormat="0" applyBorder="0" applyAlignment="0" applyProtection="0">
      <alignment vertical="center"/>
    </xf>
    <xf numFmtId="0" fontId="1" fillId="55" borderId="0" applyNumberFormat="0" applyBorder="0" applyAlignment="0" applyProtection="0">
      <alignment vertical="center"/>
    </xf>
    <xf numFmtId="0" fontId="1" fillId="58" borderId="0" applyNumberFormat="0" applyBorder="0" applyAlignment="0" applyProtection="0">
      <alignment vertical="center"/>
    </xf>
    <xf numFmtId="0" fontId="1" fillId="59" borderId="0" applyNumberFormat="0" applyBorder="0" applyAlignment="0" applyProtection="0">
      <alignment vertical="center"/>
    </xf>
    <xf numFmtId="0" fontId="1" fillId="0" borderId="0">
      <alignment vertical="center"/>
    </xf>
    <xf numFmtId="0" fontId="1" fillId="36" borderId="24" applyNumberFormat="0" applyFont="0" applyAlignment="0" applyProtection="0">
      <alignment vertical="center"/>
    </xf>
    <xf numFmtId="0" fontId="1" fillId="0" borderId="0">
      <alignment vertical="center"/>
    </xf>
    <xf numFmtId="0" fontId="1" fillId="36" borderId="24" applyNumberFormat="0" applyFont="0" applyAlignment="0" applyProtection="0">
      <alignment vertical="center"/>
    </xf>
    <xf numFmtId="0" fontId="1" fillId="38" borderId="0" applyNumberFormat="0" applyBorder="0" applyAlignment="0" applyProtection="0">
      <alignment vertical="center"/>
    </xf>
    <xf numFmtId="0" fontId="1" fillId="39" borderId="0" applyNumberFormat="0" applyBorder="0" applyAlignment="0" applyProtection="0">
      <alignment vertical="center"/>
    </xf>
    <xf numFmtId="0" fontId="1" fillId="42" borderId="0" applyNumberFormat="0" applyBorder="0" applyAlignment="0" applyProtection="0">
      <alignment vertical="center"/>
    </xf>
    <xf numFmtId="0" fontId="1" fillId="43" borderId="0" applyNumberFormat="0" applyBorder="0" applyAlignment="0" applyProtection="0">
      <alignment vertical="center"/>
    </xf>
    <xf numFmtId="0" fontId="1" fillId="46" borderId="0" applyNumberFormat="0" applyBorder="0" applyAlignment="0" applyProtection="0">
      <alignment vertical="center"/>
    </xf>
    <xf numFmtId="0" fontId="1" fillId="47" borderId="0" applyNumberFormat="0" applyBorder="0" applyAlignment="0" applyProtection="0">
      <alignment vertical="center"/>
    </xf>
    <xf numFmtId="0" fontId="1" fillId="50" borderId="0" applyNumberFormat="0" applyBorder="0" applyAlignment="0" applyProtection="0">
      <alignment vertical="center"/>
    </xf>
    <xf numFmtId="0" fontId="1" fillId="51" borderId="0" applyNumberFormat="0" applyBorder="0" applyAlignment="0" applyProtection="0">
      <alignment vertical="center"/>
    </xf>
    <xf numFmtId="0" fontId="1" fillId="54" borderId="0" applyNumberFormat="0" applyBorder="0" applyAlignment="0" applyProtection="0">
      <alignment vertical="center"/>
    </xf>
    <xf numFmtId="0" fontId="1" fillId="55" borderId="0" applyNumberFormat="0" applyBorder="0" applyAlignment="0" applyProtection="0">
      <alignment vertical="center"/>
    </xf>
    <xf numFmtId="0" fontId="1" fillId="58" borderId="0" applyNumberFormat="0" applyBorder="0" applyAlignment="0" applyProtection="0">
      <alignment vertical="center"/>
    </xf>
    <xf numFmtId="0" fontId="1" fillId="59" borderId="0" applyNumberFormat="0" applyBorder="0" applyAlignment="0" applyProtection="0">
      <alignment vertical="center"/>
    </xf>
    <xf numFmtId="0" fontId="106" fillId="0" borderId="8" applyNumberFormat="0" applyFill="0" applyAlignment="0" applyProtection="0">
      <alignment vertical="center"/>
    </xf>
    <xf numFmtId="0" fontId="16" fillId="0" borderId="7" applyNumberFormat="0" applyFill="0" applyAlignment="0" applyProtection="0">
      <alignment vertical="center"/>
    </xf>
    <xf numFmtId="0" fontId="20" fillId="64" borderId="6" applyNumberFormat="0" applyAlignment="0" applyProtection="0">
      <alignment vertical="center"/>
    </xf>
    <xf numFmtId="0" fontId="21" fillId="64" borderId="9" applyNumberFormat="0" applyAlignment="0" applyProtection="0">
      <alignment vertical="center"/>
    </xf>
    <xf numFmtId="0" fontId="15" fillId="11" borderId="6" applyNumberFormat="0" applyAlignment="0" applyProtection="0">
      <alignment vertical="center"/>
    </xf>
    <xf numFmtId="0" fontId="104" fillId="12" borderId="4" applyNumberFormat="0" applyFont="0" applyAlignment="0" applyProtection="0">
      <alignment vertical="center"/>
    </xf>
    <xf numFmtId="0" fontId="1" fillId="0" borderId="0">
      <alignment vertical="center"/>
    </xf>
    <xf numFmtId="0" fontId="103" fillId="0" borderId="0"/>
    <xf numFmtId="0" fontId="39" fillId="0" borderId="0"/>
    <xf numFmtId="0" fontId="1" fillId="38" borderId="0" applyNumberFormat="0" applyBorder="0" applyAlignment="0" applyProtection="0">
      <alignment vertical="center"/>
    </xf>
    <xf numFmtId="0" fontId="1" fillId="42" borderId="0" applyNumberFormat="0" applyBorder="0" applyAlignment="0" applyProtection="0">
      <alignment vertical="center"/>
    </xf>
    <xf numFmtId="0" fontId="1" fillId="46" borderId="0" applyNumberFormat="0" applyBorder="0" applyAlignment="0" applyProtection="0">
      <alignment vertical="center"/>
    </xf>
    <xf numFmtId="0" fontId="1" fillId="50" borderId="0" applyNumberFormat="0" applyBorder="0" applyAlignment="0" applyProtection="0">
      <alignment vertical="center"/>
    </xf>
    <xf numFmtId="0" fontId="1" fillId="54" borderId="0" applyNumberFormat="0" applyBorder="0" applyAlignment="0" applyProtection="0">
      <alignment vertical="center"/>
    </xf>
    <xf numFmtId="0" fontId="1" fillId="58" borderId="0" applyNumberFormat="0" applyBorder="0" applyAlignment="0" applyProtection="0">
      <alignment vertical="center"/>
    </xf>
    <xf numFmtId="0" fontId="1" fillId="39" borderId="0" applyNumberFormat="0" applyBorder="0" applyAlignment="0" applyProtection="0">
      <alignment vertical="center"/>
    </xf>
    <xf numFmtId="0" fontId="1" fillId="43" borderId="0" applyNumberFormat="0" applyBorder="0" applyAlignment="0" applyProtection="0">
      <alignment vertical="center"/>
    </xf>
    <xf numFmtId="0" fontId="1" fillId="47" borderId="0" applyNumberFormat="0" applyBorder="0" applyAlignment="0" applyProtection="0">
      <alignment vertical="center"/>
    </xf>
    <xf numFmtId="0" fontId="1" fillId="51" borderId="0" applyNumberFormat="0" applyBorder="0" applyAlignment="0" applyProtection="0">
      <alignment vertical="center"/>
    </xf>
    <xf numFmtId="0" fontId="1" fillId="55" borderId="0" applyNumberFormat="0" applyBorder="0" applyAlignment="0" applyProtection="0">
      <alignment vertical="center"/>
    </xf>
    <xf numFmtId="0" fontId="1" fillId="59" borderId="0" applyNumberFormat="0" applyBorder="0" applyAlignment="0" applyProtection="0">
      <alignment vertical="center"/>
    </xf>
    <xf numFmtId="0" fontId="1" fillId="0" borderId="0">
      <alignment vertical="center"/>
    </xf>
    <xf numFmtId="0" fontId="21" fillId="64" borderId="9" applyNumberFormat="0" applyAlignment="0" applyProtection="0">
      <alignment vertical="center"/>
    </xf>
    <xf numFmtId="0" fontId="1" fillId="36" borderId="24" applyNumberFormat="0" applyFont="0" applyAlignment="0" applyProtection="0">
      <alignment vertical="center"/>
    </xf>
    <xf numFmtId="0" fontId="1" fillId="36" borderId="24" applyNumberFormat="0" applyFont="0" applyAlignment="0" applyProtection="0">
      <alignment vertical="center"/>
    </xf>
    <xf numFmtId="0" fontId="104" fillId="12" borderId="4" applyNumberFormat="0" applyFont="0" applyAlignment="0" applyProtection="0">
      <alignment vertical="center"/>
    </xf>
    <xf numFmtId="0" fontId="111" fillId="33" borderId="20"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12" fillId="0" borderId="0" applyNumberFormat="0" applyFill="0" applyBorder="0" applyAlignment="0" applyProtection="0">
      <alignment vertical="top"/>
      <protection locked="0"/>
    </xf>
    <xf numFmtId="0" fontId="1" fillId="38" borderId="0" applyNumberFormat="0" applyBorder="0" applyAlignment="0" applyProtection="0">
      <alignment vertical="center"/>
    </xf>
    <xf numFmtId="0" fontId="1" fillId="39" borderId="0" applyNumberFormat="0" applyBorder="0" applyAlignment="0" applyProtection="0">
      <alignment vertical="center"/>
    </xf>
    <xf numFmtId="0" fontId="1" fillId="42" borderId="0" applyNumberFormat="0" applyBorder="0" applyAlignment="0" applyProtection="0">
      <alignment vertical="center"/>
    </xf>
    <xf numFmtId="0" fontId="1" fillId="43" borderId="0" applyNumberFormat="0" applyBorder="0" applyAlignment="0" applyProtection="0">
      <alignment vertical="center"/>
    </xf>
    <xf numFmtId="0" fontId="1" fillId="46" borderId="0" applyNumberFormat="0" applyBorder="0" applyAlignment="0" applyProtection="0">
      <alignment vertical="center"/>
    </xf>
    <xf numFmtId="0" fontId="1" fillId="47" borderId="0" applyNumberFormat="0" applyBorder="0" applyAlignment="0" applyProtection="0">
      <alignment vertical="center"/>
    </xf>
    <xf numFmtId="0" fontId="1" fillId="50" borderId="0" applyNumberFormat="0" applyBorder="0" applyAlignment="0" applyProtection="0">
      <alignment vertical="center"/>
    </xf>
    <xf numFmtId="0" fontId="1" fillId="51" borderId="0" applyNumberFormat="0" applyBorder="0" applyAlignment="0" applyProtection="0">
      <alignment vertical="center"/>
    </xf>
    <xf numFmtId="0" fontId="1" fillId="54" borderId="0" applyNumberFormat="0" applyBorder="0" applyAlignment="0" applyProtection="0">
      <alignment vertical="center"/>
    </xf>
    <xf numFmtId="0" fontId="1" fillId="55" borderId="0" applyNumberFormat="0" applyBorder="0" applyAlignment="0" applyProtection="0">
      <alignment vertical="center"/>
    </xf>
    <xf numFmtId="0" fontId="1" fillId="58" borderId="0" applyNumberFormat="0" applyBorder="0" applyAlignment="0" applyProtection="0">
      <alignment vertical="center"/>
    </xf>
    <xf numFmtId="0" fontId="1" fillId="59" borderId="0" applyNumberFormat="0" applyBorder="0" applyAlignment="0" applyProtection="0">
      <alignment vertical="center"/>
    </xf>
    <xf numFmtId="0" fontId="1" fillId="0" borderId="0">
      <alignment vertical="center"/>
    </xf>
    <xf numFmtId="0" fontId="1" fillId="36" borderId="24" applyNumberFormat="0" applyFont="0" applyAlignment="0" applyProtection="0">
      <alignment vertical="center"/>
    </xf>
    <xf numFmtId="0" fontId="1" fillId="0" borderId="0">
      <alignment vertical="center"/>
    </xf>
    <xf numFmtId="0" fontId="1" fillId="36" borderId="24" applyNumberFormat="0" applyFont="0" applyAlignment="0" applyProtection="0">
      <alignment vertical="center"/>
    </xf>
    <xf numFmtId="0" fontId="1" fillId="38" borderId="0" applyNumberFormat="0" applyBorder="0" applyAlignment="0" applyProtection="0">
      <alignment vertical="center"/>
    </xf>
    <xf numFmtId="0" fontId="1" fillId="39" borderId="0" applyNumberFormat="0" applyBorder="0" applyAlignment="0" applyProtection="0">
      <alignment vertical="center"/>
    </xf>
    <xf numFmtId="0" fontId="1" fillId="42" borderId="0" applyNumberFormat="0" applyBorder="0" applyAlignment="0" applyProtection="0">
      <alignment vertical="center"/>
    </xf>
    <xf numFmtId="0" fontId="1" fillId="43" borderId="0" applyNumberFormat="0" applyBorder="0" applyAlignment="0" applyProtection="0">
      <alignment vertical="center"/>
    </xf>
    <xf numFmtId="0" fontId="1" fillId="46" borderId="0" applyNumberFormat="0" applyBorder="0" applyAlignment="0" applyProtection="0">
      <alignment vertical="center"/>
    </xf>
    <xf numFmtId="0" fontId="1" fillId="47" borderId="0" applyNumberFormat="0" applyBorder="0" applyAlignment="0" applyProtection="0">
      <alignment vertical="center"/>
    </xf>
    <xf numFmtId="0" fontId="1" fillId="50" borderId="0" applyNumberFormat="0" applyBorder="0" applyAlignment="0" applyProtection="0">
      <alignment vertical="center"/>
    </xf>
    <xf numFmtId="0" fontId="1" fillId="51" borderId="0" applyNumberFormat="0" applyBorder="0" applyAlignment="0" applyProtection="0">
      <alignment vertical="center"/>
    </xf>
    <xf numFmtId="0" fontId="1" fillId="54" borderId="0" applyNumberFormat="0" applyBorder="0" applyAlignment="0" applyProtection="0">
      <alignment vertical="center"/>
    </xf>
    <xf numFmtId="0" fontId="1" fillId="55" borderId="0" applyNumberFormat="0" applyBorder="0" applyAlignment="0" applyProtection="0">
      <alignment vertical="center"/>
    </xf>
    <xf numFmtId="0" fontId="1" fillId="58" borderId="0" applyNumberFormat="0" applyBorder="0" applyAlignment="0" applyProtection="0">
      <alignment vertical="center"/>
    </xf>
    <xf numFmtId="0" fontId="1" fillId="59" borderId="0" applyNumberFormat="0" applyBorder="0" applyAlignment="0" applyProtection="0">
      <alignment vertical="center"/>
    </xf>
    <xf numFmtId="0" fontId="1" fillId="38" borderId="0" applyNumberFormat="0" applyBorder="0" applyAlignment="0" applyProtection="0">
      <alignment vertical="center"/>
    </xf>
    <xf numFmtId="0" fontId="1" fillId="39" borderId="0" applyNumberFormat="0" applyBorder="0" applyAlignment="0" applyProtection="0">
      <alignment vertical="center"/>
    </xf>
    <xf numFmtId="0" fontId="1" fillId="42" borderId="0" applyNumberFormat="0" applyBorder="0" applyAlignment="0" applyProtection="0">
      <alignment vertical="center"/>
    </xf>
    <xf numFmtId="0" fontId="1" fillId="43" borderId="0" applyNumberFormat="0" applyBorder="0" applyAlignment="0" applyProtection="0">
      <alignment vertical="center"/>
    </xf>
    <xf numFmtId="0" fontId="1" fillId="46" borderId="0" applyNumberFormat="0" applyBorder="0" applyAlignment="0" applyProtection="0">
      <alignment vertical="center"/>
    </xf>
    <xf numFmtId="0" fontId="1" fillId="47" borderId="0" applyNumberFormat="0" applyBorder="0" applyAlignment="0" applyProtection="0">
      <alignment vertical="center"/>
    </xf>
    <xf numFmtId="0" fontId="1" fillId="50" borderId="0" applyNumberFormat="0" applyBorder="0" applyAlignment="0" applyProtection="0">
      <alignment vertical="center"/>
    </xf>
    <xf numFmtId="0" fontId="1" fillId="51" borderId="0" applyNumberFormat="0" applyBorder="0" applyAlignment="0" applyProtection="0">
      <alignment vertical="center"/>
    </xf>
    <xf numFmtId="0" fontId="1" fillId="54" borderId="0" applyNumberFormat="0" applyBorder="0" applyAlignment="0" applyProtection="0">
      <alignment vertical="center"/>
    </xf>
    <xf numFmtId="0" fontId="1" fillId="55" borderId="0" applyNumberFormat="0" applyBorder="0" applyAlignment="0" applyProtection="0">
      <alignment vertical="center"/>
    </xf>
    <xf numFmtId="0" fontId="1" fillId="58" borderId="0" applyNumberFormat="0" applyBorder="0" applyAlignment="0" applyProtection="0">
      <alignment vertical="center"/>
    </xf>
    <xf numFmtId="0" fontId="1" fillId="59" borderId="0" applyNumberFormat="0" applyBorder="0" applyAlignment="0" applyProtection="0">
      <alignment vertical="center"/>
    </xf>
    <xf numFmtId="0" fontId="1" fillId="0" borderId="0">
      <alignment vertical="center"/>
    </xf>
    <xf numFmtId="0" fontId="1" fillId="36" borderId="24" applyNumberFormat="0" applyFont="0" applyAlignment="0" applyProtection="0">
      <alignment vertical="center"/>
    </xf>
    <xf numFmtId="0" fontId="1" fillId="0" borderId="0">
      <alignment vertical="center"/>
    </xf>
    <xf numFmtId="0" fontId="1" fillId="36" borderId="24" applyNumberFormat="0" applyFont="0" applyAlignment="0" applyProtection="0">
      <alignment vertical="center"/>
    </xf>
    <xf numFmtId="0" fontId="1" fillId="38" borderId="0" applyNumberFormat="0" applyBorder="0" applyAlignment="0" applyProtection="0">
      <alignment vertical="center"/>
    </xf>
    <xf numFmtId="0" fontId="1" fillId="39" borderId="0" applyNumberFormat="0" applyBorder="0" applyAlignment="0" applyProtection="0">
      <alignment vertical="center"/>
    </xf>
    <xf numFmtId="0" fontId="1" fillId="42" borderId="0" applyNumberFormat="0" applyBorder="0" applyAlignment="0" applyProtection="0">
      <alignment vertical="center"/>
    </xf>
    <xf numFmtId="0" fontId="1" fillId="43" borderId="0" applyNumberFormat="0" applyBorder="0" applyAlignment="0" applyProtection="0">
      <alignment vertical="center"/>
    </xf>
    <xf numFmtId="0" fontId="1" fillId="46" borderId="0" applyNumberFormat="0" applyBorder="0" applyAlignment="0" applyProtection="0">
      <alignment vertical="center"/>
    </xf>
    <xf numFmtId="0" fontId="1" fillId="47" borderId="0" applyNumberFormat="0" applyBorder="0" applyAlignment="0" applyProtection="0">
      <alignment vertical="center"/>
    </xf>
    <xf numFmtId="0" fontId="1" fillId="50" borderId="0" applyNumberFormat="0" applyBorder="0" applyAlignment="0" applyProtection="0">
      <alignment vertical="center"/>
    </xf>
    <xf numFmtId="0" fontId="1" fillId="51" borderId="0" applyNumberFormat="0" applyBorder="0" applyAlignment="0" applyProtection="0">
      <alignment vertical="center"/>
    </xf>
    <xf numFmtId="0" fontId="1" fillId="54" borderId="0" applyNumberFormat="0" applyBorder="0" applyAlignment="0" applyProtection="0">
      <alignment vertical="center"/>
    </xf>
    <xf numFmtId="0" fontId="1" fillId="55" borderId="0" applyNumberFormat="0" applyBorder="0" applyAlignment="0" applyProtection="0">
      <alignment vertical="center"/>
    </xf>
    <xf numFmtId="0" fontId="1" fillId="58" borderId="0" applyNumberFormat="0" applyBorder="0" applyAlignment="0" applyProtection="0">
      <alignment vertical="center"/>
    </xf>
    <xf numFmtId="0" fontId="1" fillId="59" borderId="0" applyNumberFormat="0" applyBorder="0" applyAlignment="0" applyProtection="0">
      <alignment vertical="center"/>
    </xf>
    <xf numFmtId="0" fontId="1" fillId="0" borderId="0">
      <alignment vertical="center"/>
    </xf>
    <xf numFmtId="0" fontId="1" fillId="38" borderId="0" applyNumberFormat="0" applyBorder="0" applyAlignment="0" applyProtection="0">
      <alignment vertical="center"/>
    </xf>
    <xf numFmtId="0" fontId="1" fillId="42" borderId="0" applyNumberFormat="0" applyBorder="0" applyAlignment="0" applyProtection="0">
      <alignment vertical="center"/>
    </xf>
    <xf numFmtId="0" fontId="1" fillId="46" borderId="0" applyNumberFormat="0" applyBorder="0" applyAlignment="0" applyProtection="0">
      <alignment vertical="center"/>
    </xf>
    <xf numFmtId="0" fontId="1" fillId="50" borderId="0" applyNumberFormat="0" applyBorder="0" applyAlignment="0" applyProtection="0">
      <alignment vertical="center"/>
    </xf>
    <xf numFmtId="0" fontId="1" fillId="54" borderId="0" applyNumberFormat="0" applyBorder="0" applyAlignment="0" applyProtection="0">
      <alignment vertical="center"/>
    </xf>
    <xf numFmtId="0" fontId="1" fillId="58" borderId="0" applyNumberFormat="0" applyBorder="0" applyAlignment="0" applyProtection="0">
      <alignment vertical="center"/>
    </xf>
    <xf numFmtId="0" fontId="1" fillId="39" borderId="0" applyNumberFormat="0" applyBorder="0" applyAlignment="0" applyProtection="0">
      <alignment vertical="center"/>
    </xf>
    <xf numFmtId="0" fontId="1" fillId="43" borderId="0" applyNumberFormat="0" applyBorder="0" applyAlignment="0" applyProtection="0">
      <alignment vertical="center"/>
    </xf>
    <xf numFmtId="0" fontId="1" fillId="47" borderId="0" applyNumberFormat="0" applyBorder="0" applyAlignment="0" applyProtection="0">
      <alignment vertical="center"/>
    </xf>
    <xf numFmtId="0" fontId="1" fillId="51" borderId="0" applyNumberFormat="0" applyBorder="0" applyAlignment="0" applyProtection="0">
      <alignment vertical="center"/>
    </xf>
    <xf numFmtId="0" fontId="1" fillId="55" borderId="0" applyNumberFormat="0" applyBorder="0" applyAlignment="0" applyProtection="0">
      <alignment vertical="center"/>
    </xf>
    <xf numFmtId="0" fontId="1" fillId="59" borderId="0" applyNumberFormat="0" applyBorder="0" applyAlignment="0" applyProtection="0">
      <alignment vertical="center"/>
    </xf>
    <xf numFmtId="0" fontId="1" fillId="0" borderId="0">
      <alignment vertical="center"/>
    </xf>
    <xf numFmtId="0" fontId="1" fillId="36" borderId="24" applyNumberFormat="0" applyFont="0" applyAlignment="0" applyProtection="0">
      <alignment vertical="center"/>
    </xf>
    <xf numFmtId="0" fontId="1" fillId="36" borderId="24" applyNumberFormat="0" applyFont="0" applyAlignment="0" applyProtection="0">
      <alignment vertical="center"/>
    </xf>
    <xf numFmtId="0" fontId="9" fillId="6" borderId="0" applyNumberFormat="0" applyBorder="0" applyAlignment="0" applyProtection="0">
      <alignment vertical="center"/>
    </xf>
    <xf numFmtId="0" fontId="10" fillId="0" borderId="0" applyNumberFormat="0" applyFill="0" applyBorder="0" applyAlignment="0" applyProtection="0">
      <alignment vertical="center"/>
    </xf>
    <xf numFmtId="0" fontId="24" fillId="7"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8" borderId="0" applyNumberFormat="0" applyBorder="0" applyAlignment="0" applyProtection="0">
      <alignment vertical="center"/>
    </xf>
    <xf numFmtId="0" fontId="24" fillId="18" borderId="0" applyNumberFormat="0" applyBorder="0" applyAlignment="0" applyProtection="0">
      <alignment vertical="center"/>
    </xf>
    <xf numFmtId="0" fontId="24" fillId="11" borderId="0" applyNumberFormat="0" applyBorder="0" applyAlignment="0" applyProtection="0">
      <alignment vertical="center"/>
    </xf>
    <xf numFmtId="0" fontId="9" fillId="2" borderId="0" applyNumberFormat="0" applyBorder="0" applyAlignment="0" applyProtection="0">
      <alignment vertical="center"/>
    </xf>
    <xf numFmtId="0" fontId="24" fillId="7" borderId="0" applyNumberFormat="0" applyBorder="0" applyAlignment="0" applyProtection="0">
      <alignment vertical="center"/>
    </xf>
    <xf numFmtId="0" fontId="24" fillId="16" borderId="0" applyNumberFormat="0" applyBorder="0" applyAlignment="0" applyProtection="0">
      <alignment vertical="center"/>
    </xf>
    <xf numFmtId="0" fontId="17" fillId="7" borderId="0" applyNumberFormat="0" applyBorder="0" applyAlignment="0" applyProtection="0">
      <alignment vertical="center"/>
    </xf>
    <xf numFmtId="0" fontId="24" fillId="8" borderId="0" applyNumberFormat="0" applyBorder="0" applyAlignment="0" applyProtection="0">
      <alignment vertical="center"/>
    </xf>
    <xf numFmtId="0" fontId="24" fillId="11" borderId="0" applyNumberFormat="0" applyBorder="0" applyAlignment="0" applyProtection="0">
      <alignment vertical="center"/>
    </xf>
    <xf numFmtId="0" fontId="19" fillId="0" borderId="8" applyNumberFormat="0" applyFill="0" applyAlignment="0" applyProtection="0">
      <alignment vertical="center"/>
    </xf>
    <xf numFmtId="0" fontId="9" fillId="7" borderId="0" applyNumberFormat="0" applyBorder="0" applyAlignment="0" applyProtection="0">
      <alignment vertical="center"/>
    </xf>
    <xf numFmtId="0" fontId="19" fillId="0" borderId="0" applyNumberFormat="0" applyFill="0" applyBorder="0" applyAlignment="0" applyProtection="0">
      <alignment vertical="center"/>
    </xf>
    <xf numFmtId="0" fontId="9" fillId="16" borderId="0" applyNumberFormat="0" applyBorder="0" applyAlignment="0" applyProtection="0">
      <alignment vertical="center"/>
    </xf>
    <xf numFmtId="0" fontId="9" fillId="8" borderId="0" applyNumberFormat="0" applyBorder="0" applyAlignment="0" applyProtection="0">
      <alignment vertical="center"/>
    </xf>
    <xf numFmtId="0" fontId="21" fillId="4" borderId="9" applyNumberFormat="0" applyAlignment="0" applyProtection="0">
      <alignment vertical="center"/>
    </xf>
    <xf numFmtId="0" fontId="9" fillId="13" borderId="0" applyNumberFormat="0" applyBorder="0" applyAlignment="0" applyProtection="0">
      <alignment vertical="center"/>
    </xf>
    <xf numFmtId="0" fontId="9" fillId="11" borderId="0" applyNumberFormat="0" applyBorder="0" applyAlignment="0" applyProtection="0">
      <alignment vertical="center"/>
    </xf>
    <xf numFmtId="0" fontId="13" fillId="0" borderId="5" applyNumberFormat="0" applyFill="0" applyAlignment="0" applyProtection="0">
      <alignment vertical="center"/>
    </xf>
    <xf numFmtId="0" fontId="23" fillId="0" borderId="10" applyNumberFormat="0" applyFill="0" applyAlignment="0" applyProtection="0">
      <alignment vertical="center"/>
    </xf>
    <xf numFmtId="0" fontId="20" fillId="4" borderId="6" applyNumberFormat="0" applyAlignment="0" applyProtection="0">
      <alignment vertical="center"/>
    </xf>
    <xf numFmtId="0" fontId="9" fillId="17" borderId="0" applyNumberFormat="0" applyBorder="0" applyAlignment="0" applyProtection="0">
      <alignment vertical="center"/>
    </xf>
    <xf numFmtId="0" fontId="9" fillId="14" borderId="0" applyNumberFormat="0" applyBorder="0" applyAlignment="0" applyProtection="0">
      <alignment vertical="center"/>
    </xf>
    <xf numFmtId="0" fontId="9" fillId="9" borderId="0" applyNumberFormat="0" applyBorder="0" applyAlignment="0" applyProtection="0">
      <alignment vertical="center"/>
    </xf>
    <xf numFmtId="0" fontId="24" fillId="12" borderId="4" applyNumberFormat="0" applyFont="0" applyAlignment="0" applyProtection="0">
      <alignment vertical="center"/>
    </xf>
    <xf numFmtId="0" fontId="24" fillId="0" borderId="0">
      <alignment vertical="center"/>
    </xf>
    <xf numFmtId="0" fontId="9" fillId="6" borderId="0" applyNumberFormat="0" applyBorder="0" applyAlignment="0" applyProtection="0">
      <alignment vertical="center"/>
    </xf>
    <xf numFmtId="0" fontId="10" fillId="0" borderId="0" applyNumberFormat="0" applyFill="0" applyBorder="0" applyAlignment="0" applyProtection="0">
      <alignment vertical="center"/>
    </xf>
    <xf numFmtId="0" fontId="24" fillId="7"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15" fillId="11" borderId="6" applyNumberFormat="0" applyAlignment="0" applyProtection="0">
      <alignment vertical="center"/>
    </xf>
    <xf numFmtId="0" fontId="24" fillId="8" borderId="0" applyNumberFormat="0" applyBorder="0" applyAlignment="0" applyProtection="0">
      <alignment vertical="center"/>
    </xf>
    <xf numFmtId="0" fontId="24" fillId="18" borderId="0" applyNumberFormat="0" applyBorder="0" applyAlignment="0" applyProtection="0">
      <alignment vertical="center"/>
    </xf>
    <xf numFmtId="0" fontId="9" fillId="14" borderId="0" applyNumberFormat="0" applyBorder="0" applyAlignment="0" applyProtection="0">
      <alignment vertical="center"/>
    </xf>
    <xf numFmtId="0" fontId="24" fillId="11" borderId="0" applyNumberFormat="0" applyBorder="0" applyAlignment="0" applyProtection="0">
      <alignment vertical="center"/>
    </xf>
    <xf numFmtId="0" fontId="12" fillId="0" borderId="3" applyNumberFormat="0" applyFill="0" applyAlignment="0" applyProtection="0">
      <alignment vertical="center"/>
    </xf>
    <xf numFmtId="0" fontId="9" fillId="2" borderId="0" applyNumberFormat="0" applyBorder="0" applyAlignment="0" applyProtection="0">
      <alignment vertical="center"/>
    </xf>
    <xf numFmtId="0" fontId="24" fillId="13" borderId="0" applyNumberFormat="0" applyBorder="0" applyAlignment="0" applyProtection="0">
      <alignment vertical="center"/>
    </xf>
    <xf numFmtId="0" fontId="24" fillId="7" borderId="0" applyNumberFormat="0" applyBorder="0" applyAlignment="0" applyProtection="0">
      <alignment vertical="center"/>
    </xf>
    <xf numFmtId="0" fontId="24" fillId="16" borderId="0" applyNumberFormat="0" applyBorder="0" applyAlignment="0" applyProtection="0">
      <alignment vertical="center"/>
    </xf>
    <xf numFmtId="0" fontId="17" fillId="7" borderId="0" applyNumberFormat="0" applyBorder="0" applyAlignment="0" applyProtection="0">
      <alignment vertical="center"/>
    </xf>
    <xf numFmtId="0" fontId="24" fillId="8" borderId="0" applyNumberFormat="0" applyBorder="0" applyAlignment="0" applyProtection="0">
      <alignment vertical="center"/>
    </xf>
    <xf numFmtId="0" fontId="24" fillId="13" borderId="0" applyNumberFormat="0" applyBorder="0" applyAlignment="0" applyProtection="0">
      <alignment vertical="center"/>
    </xf>
    <xf numFmtId="0" fontId="24" fillId="11" borderId="0" applyNumberFormat="0" applyBorder="0" applyAlignment="0" applyProtection="0">
      <alignment vertical="center"/>
    </xf>
    <xf numFmtId="0" fontId="9" fillId="13" borderId="0" applyNumberFormat="0" applyBorder="0" applyAlignment="0" applyProtection="0">
      <alignment vertical="center"/>
    </xf>
    <xf numFmtId="0" fontId="19" fillId="0" borderId="8" applyNumberFormat="0" applyFill="0" applyAlignment="0" applyProtection="0">
      <alignment vertical="center"/>
    </xf>
    <xf numFmtId="0" fontId="9" fillId="7" borderId="0" applyNumberFormat="0" applyBorder="0" applyAlignment="0" applyProtection="0">
      <alignment vertical="center"/>
    </xf>
    <xf numFmtId="0" fontId="19"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9" fillId="16" borderId="0" applyNumberFormat="0" applyBorder="0" applyAlignment="0" applyProtection="0">
      <alignment vertical="center"/>
    </xf>
    <xf numFmtId="0" fontId="9" fillId="8" borderId="0" applyNumberFormat="0" applyBorder="0" applyAlignment="0" applyProtection="0">
      <alignment vertical="center"/>
    </xf>
    <xf numFmtId="0" fontId="21" fillId="4" borderId="9" applyNumberFormat="0" applyAlignment="0" applyProtection="0">
      <alignment vertical="center"/>
    </xf>
    <xf numFmtId="0" fontId="9" fillId="13" borderId="0" applyNumberFormat="0" applyBorder="0" applyAlignment="0" applyProtection="0">
      <alignment vertical="center"/>
    </xf>
    <xf numFmtId="0" fontId="9" fillId="11" borderId="0" applyNumberFormat="0" applyBorder="0" applyAlignment="0" applyProtection="0">
      <alignment vertical="center"/>
    </xf>
    <xf numFmtId="0" fontId="13" fillId="0" borderId="5" applyNumberFormat="0" applyFill="0" applyAlignment="0" applyProtection="0">
      <alignment vertical="center"/>
    </xf>
    <xf numFmtId="0" fontId="23" fillId="0" borderId="10" applyNumberFormat="0" applyFill="0" applyAlignment="0" applyProtection="0">
      <alignment vertical="center"/>
    </xf>
    <xf numFmtId="0" fontId="22" fillId="16" borderId="0" applyNumberFormat="0" applyBorder="0" applyAlignment="0" applyProtection="0">
      <alignment vertical="center"/>
    </xf>
    <xf numFmtId="0" fontId="16" fillId="0" borderId="7" applyNumberFormat="0" applyFill="0" applyAlignment="0" applyProtection="0">
      <alignment vertical="center"/>
    </xf>
    <xf numFmtId="0" fontId="20" fillId="4" borderId="6" applyNumberFormat="0" applyAlignment="0" applyProtection="0">
      <alignment vertical="center"/>
    </xf>
    <xf numFmtId="0" fontId="11" fillId="10" borderId="2" applyNumberFormat="0" applyAlignment="0" applyProtection="0">
      <alignment vertical="center"/>
    </xf>
    <xf numFmtId="0" fontId="18" fillId="0" borderId="0" applyNumberFormat="0" applyFill="0" applyBorder="0" applyAlignment="0" applyProtection="0">
      <alignment vertical="center"/>
    </xf>
    <xf numFmtId="0" fontId="9" fillId="17" borderId="0" applyNumberFormat="0" applyBorder="0" applyAlignment="0" applyProtection="0">
      <alignment vertical="center"/>
    </xf>
    <xf numFmtId="0" fontId="9" fillId="14" borderId="0" applyNumberFormat="0" applyBorder="0" applyAlignment="0" applyProtection="0">
      <alignment vertical="center"/>
    </xf>
    <xf numFmtId="0" fontId="9" fillId="9" borderId="0" applyNumberFormat="0" applyBorder="0" applyAlignment="0" applyProtection="0">
      <alignment vertical="center"/>
    </xf>
    <xf numFmtId="0" fontId="17" fillId="19" borderId="0" applyNumberFormat="0" applyBorder="0" applyAlignment="0" applyProtection="0">
      <alignment vertical="center"/>
    </xf>
    <xf numFmtId="0" fontId="24" fillId="12" borderId="4"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45" fillId="0" borderId="0">
      <alignment vertical="center"/>
    </xf>
    <xf numFmtId="0" fontId="45" fillId="0" borderId="0"/>
    <xf numFmtId="0" fontId="24" fillId="36" borderId="24" applyNumberFormat="0" applyFont="0" applyAlignment="0" applyProtection="0">
      <alignment vertical="center"/>
    </xf>
    <xf numFmtId="0" fontId="1" fillId="0" borderId="0">
      <alignment vertical="center"/>
    </xf>
    <xf numFmtId="0" fontId="1" fillId="0" borderId="0">
      <alignment vertical="center"/>
    </xf>
    <xf numFmtId="0" fontId="39"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9" fillId="0" borderId="0"/>
    <xf numFmtId="0" fontId="113" fillId="0" borderId="0"/>
    <xf numFmtId="0" fontId="24" fillId="0" borderId="0">
      <alignment vertical="center"/>
    </xf>
    <xf numFmtId="0" fontId="9" fillId="6" borderId="0" applyNumberFormat="0" applyBorder="0" applyAlignment="0" applyProtection="0">
      <alignment vertical="center"/>
    </xf>
    <xf numFmtId="0" fontId="10" fillId="0" borderId="0" applyNumberFormat="0" applyFill="0" applyBorder="0" applyAlignment="0" applyProtection="0">
      <alignment vertical="center"/>
    </xf>
    <xf numFmtId="0" fontId="24" fillId="7"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8" borderId="0" applyNumberFormat="0" applyBorder="0" applyAlignment="0" applyProtection="0">
      <alignment vertical="center"/>
    </xf>
    <xf numFmtId="0" fontId="24" fillId="18" borderId="0" applyNumberFormat="0" applyBorder="0" applyAlignment="0" applyProtection="0">
      <alignment vertical="center"/>
    </xf>
    <xf numFmtId="0" fontId="24" fillId="11" borderId="0" applyNumberFormat="0" applyBorder="0" applyAlignment="0" applyProtection="0">
      <alignment vertical="center"/>
    </xf>
    <xf numFmtId="0" fontId="9" fillId="2" borderId="0" applyNumberFormat="0" applyBorder="0" applyAlignment="0" applyProtection="0">
      <alignment vertical="center"/>
    </xf>
    <xf numFmtId="0" fontId="24" fillId="13" borderId="0" applyNumberFormat="0" applyBorder="0" applyAlignment="0" applyProtection="0">
      <alignment vertical="center"/>
    </xf>
    <xf numFmtId="0" fontId="24" fillId="7" borderId="0" applyNumberFormat="0" applyBorder="0" applyAlignment="0" applyProtection="0">
      <alignment vertical="center"/>
    </xf>
    <xf numFmtId="0" fontId="24" fillId="16" borderId="0" applyNumberFormat="0" applyBorder="0" applyAlignment="0" applyProtection="0">
      <alignment vertical="center"/>
    </xf>
    <xf numFmtId="0" fontId="17" fillId="7" borderId="0" applyNumberFormat="0" applyBorder="0" applyAlignment="0" applyProtection="0">
      <alignment vertical="center"/>
    </xf>
    <xf numFmtId="0" fontId="24" fillId="8" borderId="0" applyNumberFormat="0" applyBorder="0" applyAlignment="0" applyProtection="0">
      <alignment vertical="center"/>
    </xf>
    <xf numFmtId="0" fontId="24" fillId="13" borderId="0" applyNumberFormat="0" applyBorder="0" applyAlignment="0" applyProtection="0">
      <alignment vertical="center"/>
    </xf>
    <xf numFmtId="0" fontId="24" fillId="11" borderId="0" applyNumberFormat="0" applyBorder="0" applyAlignment="0" applyProtection="0">
      <alignment vertical="center"/>
    </xf>
    <xf numFmtId="0" fontId="19" fillId="0" borderId="8" applyNumberFormat="0" applyFill="0" applyAlignment="0" applyProtection="0">
      <alignment vertical="center"/>
    </xf>
    <xf numFmtId="0" fontId="9" fillId="7" borderId="0" applyNumberFormat="0" applyBorder="0" applyAlignment="0" applyProtection="0">
      <alignment vertical="center"/>
    </xf>
    <xf numFmtId="0" fontId="19" fillId="0" borderId="0" applyNumberFormat="0" applyFill="0" applyBorder="0" applyAlignment="0" applyProtection="0">
      <alignment vertical="center"/>
    </xf>
    <xf numFmtId="0" fontId="9" fillId="16" borderId="0" applyNumberFormat="0" applyBorder="0" applyAlignment="0" applyProtection="0">
      <alignment vertical="center"/>
    </xf>
    <xf numFmtId="0" fontId="9" fillId="8" borderId="0" applyNumberFormat="0" applyBorder="0" applyAlignment="0" applyProtection="0">
      <alignment vertical="center"/>
    </xf>
    <xf numFmtId="0" fontId="21" fillId="4" borderId="9" applyNumberFormat="0" applyAlignment="0" applyProtection="0">
      <alignment vertical="center"/>
    </xf>
    <xf numFmtId="0" fontId="9" fillId="13" borderId="0" applyNumberFormat="0" applyBorder="0" applyAlignment="0" applyProtection="0">
      <alignment vertical="center"/>
    </xf>
    <xf numFmtId="0" fontId="9" fillId="11" borderId="0" applyNumberFormat="0" applyBorder="0" applyAlignment="0" applyProtection="0">
      <alignment vertical="center"/>
    </xf>
    <xf numFmtId="0" fontId="13" fillId="0" borderId="5" applyNumberFormat="0" applyFill="0" applyAlignment="0" applyProtection="0">
      <alignment vertical="center"/>
    </xf>
    <xf numFmtId="0" fontId="23" fillId="0" borderId="10" applyNumberFormat="0" applyFill="0" applyAlignment="0" applyProtection="0">
      <alignment vertical="center"/>
    </xf>
    <xf numFmtId="0" fontId="20" fillId="4" borderId="6" applyNumberFormat="0" applyAlignment="0" applyProtection="0">
      <alignment vertical="center"/>
    </xf>
    <xf numFmtId="0" fontId="9" fillId="17" borderId="0" applyNumberFormat="0" applyBorder="0" applyAlignment="0" applyProtection="0">
      <alignment vertical="center"/>
    </xf>
    <xf numFmtId="0" fontId="9" fillId="14" borderId="0" applyNumberFormat="0" applyBorder="0" applyAlignment="0" applyProtection="0">
      <alignment vertical="center"/>
    </xf>
    <xf numFmtId="0" fontId="9" fillId="9" borderId="0" applyNumberFormat="0" applyBorder="0" applyAlignment="0" applyProtection="0">
      <alignment vertical="center"/>
    </xf>
    <xf numFmtId="0" fontId="24" fillId="12" borderId="4" applyNumberFormat="0" applyFont="0" applyAlignment="0" applyProtection="0">
      <alignment vertical="center"/>
    </xf>
    <xf numFmtId="0" fontId="2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7" fillId="0" borderId="0" applyNumberFormat="0" applyFill="0" applyBorder="0" applyAlignment="0" applyProtection="0">
      <alignment vertical="center"/>
    </xf>
    <xf numFmtId="0" fontId="88" fillId="0" borderId="17" applyNumberFormat="0" applyFill="0" applyAlignment="0" applyProtection="0">
      <alignment vertical="center"/>
    </xf>
    <xf numFmtId="0" fontId="89" fillId="0" borderId="18" applyNumberFormat="0" applyFill="0" applyAlignment="0" applyProtection="0">
      <alignment vertical="center"/>
    </xf>
    <xf numFmtId="0" fontId="90" fillId="0" borderId="19" applyNumberFormat="0" applyFill="0" applyAlignment="0" applyProtection="0">
      <alignment vertical="center"/>
    </xf>
    <xf numFmtId="0" fontId="90" fillId="0" borderId="0" applyNumberFormat="0" applyFill="0" applyBorder="0" applyAlignment="0" applyProtection="0">
      <alignment vertical="center"/>
    </xf>
    <xf numFmtId="0" fontId="91" fillId="30" borderId="0" applyNumberFormat="0" applyBorder="0" applyAlignment="0" applyProtection="0">
      <alignment vertical="center"/>
    </xf>
    <xf numFmtId="0" fontId="92" fillId="31" borderId="0" applyNumberFormat="0" applyBorder="0" applyAlignment="0" applyProtection="0">
      <alignment vertical="center"/>
    </xf>
    <xf numFmtId="0" fontId="93" fillId="32" borderId="0" applyNumberFormat="0" applyBorder="0" applyAlignment="0" applyProtection="0">
      <alignment vertical="center"/>
    </xf>
    <xf numFmtId="0" fontId="94" fillId="33" borderId="20" applyNumberFormat="0" applyAlignment="0" applyProtection="0">
      <alignment vertical="center"/>
    </xf>
    <xf numFmtId="0" fontId="95" fillId="34" borderId="21" applyNumberFormat="0" applyAlignment="0" applyProtection="0">
      <alignment vertical="center"/>
    </xf>
    <xf numFmtId="0" fontId="96" fillId="34" borderId="20" applyNumberFormat="0" applyAlignment="0" applyProtection="0">
      <alignment vertical="center"/>
    </xf>
    <xf numFmtId="0" fontId="97" fillId="0" borderId="22" applyNumberFormat="0" applyFill="0" applyAlignment="0" applyProtection="0">
      <alignment vertical="center"/>
    </xf>
    <xf numFmtId="0" fontId="98" fillId="35" borderId="23" applyNumberFormat="0" applyAlignment="0" applyProtection="0">
      <alignment vertical="center"/>
    </xf>
    <xf numFmtId="0" fontId="99"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1" fillId="0" borderId="25" applyNumberFormat="0" applyFill="0" applyAlignment="0" applyProtection="0">
      <alignment vertical="center"/>
    </xf>
    <xf numFmtId="0" fontId="102" fillId="37" borderId="0" applyNumberFormat="0" applyBorder="0" applyAlignment="0" applyProtection="0">
      <alignment vertical="center"/>
    </xf>
    <xf numFmtId="0" fontId="1" fillId="38" borderId="0" applyNumberFormat="0" applyBorder="0" applyAlignment="0" applyProtection="0">
      <alignment vertical="center"/>
    </xf>
    <xf numFmtId="0" fontId="1" fillId="39" borderId="0" applyNumberFormat="0" applyBorder="0" applyAlignment="0" applyProtection="0">
      <alignment vertical="center"/>
    </xf>
    <xf numFmtId="0" fontId="102" fillId="40" borderId="0" applyNumberFormat="0" applyBorder="0" applyAlignment="0" applyProtection="0">
      <alignment vertical="center"/>
    </xf>
    <xf numFmtId="0" fontId="102" fillId="41" borderId="0" applyNumberFormat="0" applyBorder="0" applyAlignment="0" applyProtection="0">
      <alignment vertical="center"/>
    </xf>
    <xf numFmtId="0" fontId="1" fillId="42" borderId="0" applyNumberFormat="0" applyBorder="0" applyAlignment="0" applyProtection="0">
      <alignment vertical="center"/>
    </xf>
    <xf numFmtId="0" fontId="1" fillId="43" borderId="0" applyNumberFormat="0" applyBorder="0" applyAlignment="0" applyProtection="0">
      <alignment vertical="center"/>
    </xf>
    <xf numFmtId="0" fontId="102" fillId="44" borderId="0" applyNumberFormat="0" applyBorder="0" applyAlignment="0" applyProtection="0">
      <alignment vertical="center"/>
    </xf>
    <xf numFmtId="0" fontId="102" fillId="45" borderId="0" applyNumberFormat="0" applyBorder="0" applyAlignment="0" applyProtection="0">
      <alignment vertical="center"/>
    </xf>
    <xf numFmtId="0" fontId="1" fillId="46" borderId="0" applyNumberFormat="0" applyBorder="0" applyAlignment="0" applyProtection="0">
      <alignment vertical="center"/>
    </xf>
    <xf numFmtId="0" fontId="1" fillId="47" borderId="0" applyNumberFormat="0" applyBorder="0" applyAlignment="0" applyProtection="0">
      <alignment vertical="center"/>
    </xf>
    <xf numFmtId="0" fontId="102" fillId="48" borderId="0" applyNumberFormat="0" applyBorder="0" applyAlignment="0" applyProtection="0">
      <alignment vertical="center"/>
    </xf>
    <xf numFmtId="0" fontId="102" fillId="49" borderId="0" applyNumberFormat="0" applyBorder="0" applyAlignment="0" applyProtection="0">
      <alignment vertical="center"/>
    </xf>
    <xf numFmtId="0" fontId="1" fillId="50" borderId="0" applyNumberFormat="0" applyBorder="0" applyAlignment="0" applyProtection="0">
      <alignment vertical="center"/>
    </xf>
    <xf numFmtId="0" fontId="1" fillId="51" borderId="0" applyNumberFormat="0" applyBorder="0" applyAlignment="0" applyProtection="0">
      <alignment vertical="center"/>
    </xf>
    <xf numFmtId="0" fontId="102" fillId="52" borderId="0" applyNumberFormat="0" applyBorder="0" applyAlignment="0" applyProtection="0">
      <alignment vertical="center"/>
    </xf>
    <xf numFmtId="0" fontId="102" fillId="53" borderId="0" applyNumberFormat="0" applyBorder="0" applyAlignment="0" applyProtection="0">
      <alignment vertical="center"/>
    </xf>
    <xf numFmtId="0" fontId="1" fillId="54" borderId="0" applyNumberFormat="0" applyBorder="0" applyAlignment="0" applyProtection="0">
      <alignment vertical="center"/>
    </xf>
    <xf numFmtId="0" fontId="1" fillId="55" borderId="0" applyNumberFormat="0" applyBorder="0" applyAlignment="0" applyProtection="0">
      <alignment vertical="center"/>
    </xf>
    <xf numFmtId="0" fontId="102" fillId="56" borderId="0" applyNumberFormat="0" applyBorder="0" applyAlignment="0" applyProtection="0">
      <alignment vertical="center"/>
    </xf>
    <xf numFmtId="0" fontId="102" fillId="57" borderId="0" applyNumberFormat="0" applyBorder="0" applyAlignment="0" applyProtection="0">
      <alignment vertical="center"/>
    </xf>
    <xf numFmtId="0" fontId="1" fillId="58" borderId="0" applyNumberFormat="0" applyBorder="0" applyAlignment="0" applyProtection="0">
      <alignment vertical="center"/>
    </xf>
    <xf numFmtId="0" fontId="1" fillId="59" borderId="0" applyNumberFormat="0" applyBorder="0" applyAlignment="0" applyProtection="0">
      <alignment vertical="center"/>
    </xf>
    <xf numFmtId="0" fontId="102" fillId="60" borderId="0" applyNumberFormat="0" applyBorder="0" applyAlignment="0" applyProtection="0">
      <alignment vertical="center"/>
    </xf>
    <xf numFmtId="0" fontId="1" fillId="0" borderId="0">
      <alignment vertical="center"/>
    </xf>
    <xf numFmtId="0" fontId="1" fillId="36" borderId="24" applyNumberFormat="0" applyFont="0" applyAlignment="0" applyProtection="0">
      <alignment vertical="center"/>
    </xf>
    <xf numFmtId="177" fontId="103" fillId="0" borderId="0"/>
    <xf numFmtId="0" fontId="1" fillId="0" borderId="0">
      <alignment vertical="center"/>
    </xf>
    <xf numFmtId="0" fontId="1" fillId="36" borderId="24" applyNumberFormat="0" applyFont="0" applyAlignment="0" applyProtection="0">
      <alignment vertical="center"/>
    </xf>
    <xf numFmtId="0" fontId="1" fillId="38" borderId="0" applyNumberFormat="0" applyBorder="0" applyAlignment="0" applyProtection="0">
      <alignment vertical="center"/>
    </xf>
    <xf numFmtId="0" fontId="1" fillId="39" borderId="0" applyNumberFormat="0" applyBorder="0" applyAlignment="0" applyProtection="0">
      <alignment vertical="center"/>
    </xf>
    <xf numFmtId="0" fontId="1" fillId="42" borderId="0" applyNumberFormat="0" applyBorder="0" applyAlignment="0" applyProtection="0">
      <alignment vertical="center"/>
    </xf>
    <xf numFmtId="0" fontId="1" fillId="43" borderId="0" applyNumberFormat="0" applyBorder="0" applyAlignment="0" applyProtection="0">
      <alignment vertical="center"/>
    </xf>
    <xf numFmtId="0" fontId="1" fillId="46" borderId="0" applyNumberFormat="0" applyBorder="0" applyAlignment="0" applyProtection="0">
      <alignment vertical="center"/>
    </xf>
    <xf numFmtId="0" fontId="1" fillId="47" borderId="0" applyNumberFormat="0" applyBorder="0" applyAlignment="0" applyProtection="0">
      <alignment vertical="center"/>
    </xf>
    <xf numFmtId="0" fontId="1" fillId="50" borderId="0" applyNumberFormat="0" applyBorder="0" applyAlignment="0" applyProtection="0">
      <alignment vertical="center"/>
    </xf>
    <xf numFmtId="0" fontId="1" fillId="51" borderId="0" applyNumberFormat="0" applyBorder="0" applyAlignment="0" applyProtection="0">
      <alignment vertical="center"/>
    </xf>
    <xf numFmtId="0" fontId="1" fillId="54" borderId="0" applyNumberFormat="0" applyBorder="0" applyAlignment="0" applyProtection="0">
      <alignment vertical="center"/>
    </xf>
    <xf numFmtId="0" fontId="1" fillId="55" borderId="0" applyNumberFormat="0" applyBorder="0" applyAlignment="0" applyProtection="0">
      <alignment vertical="center"/>
    </xf>
    <xf numFmtId="0" fontId="1" fillId="58" borderId="0" applyNumberFormat="0" applyBorder="0" applyAlignment="0" applyProtection="0">
      <alignment vertical="center"/>
    </xf>
    <xf numFmtId="0" fontId="1" fillId="59" borderId="0" applyNumberFormat="0" applyBorder="0" applyAlignment="0" applyProtection="0">
      <alignment vertical="center"/>
    </xf>
    <xf numFmtId="0" fontId="104" fillId="0" borderId="0">
      <alignment vertical="center"/>
    </xf>
    <xf numFmtId="0" fontId="45" fillId="38" borderId="0" applyNumberFormat="0" applyBorder="0" applyAlignment="0" applyProtection="0">
      <alignment vertical="center"/>
    </xf>
    <xf numFmtId="0" fontId="45" fillId="42" borderId="0" applyNumberFormat="0" applyBorder="0" applyAlignment="0" applyProtection="0">
      <alignment vertical="center"/>
    </xf>
    <xf numFmtId="0" fontId="45" fillId="46" borderId="0" applyNumberFormat="0" applyBorder="0" applyAlignment="0" applyProtection="0">
      <alignment vertical="center"/>
    </xf>
    <xf numFmtId="0" fontId="45" fillId="50" borderId="0" applyNumberFormat="0" applyBorder="0" applyAlignment="0" applyProtection="0">
      <alignment vertical="center"/>
    </xf>
    <xf numFmtId="0" fontId="45" fillId="54" borderId="0" applyNumberFormat="0" applyBorder="0" applyAlignment="0" applyProtection="0">
      <alignment vertical="center"/>
    </xf>
    <xf numFmtId="0" fontId="45" fillId="58" borderId="0" applyNumberFormat="0" applyBorder="0" applyAlignment="0" applyProtection="0">
      <alignment vertical="center"/>
    </xf>
    <xf numFmtId="0" fontId="45" fillId="39" borderId="0" applyNumberFormat="0" applyBorder="0" applyAlignment="0" applyProtection="0">
      <alignment vertical="center"/>
    </xf>
    <xf numFmtId="0" fontId="45" fillId="43" borderId="0" applyNumberFormat="0" applyBorder="0" applyAlignment="0" applyProtection="0">
      <alignment vertical="center"/>
    </xf>
    <xf numFmtId="0" fontId="45" fillId="47" borderId="0" applyNumberFormat="0" applyBorder="0" applyAlignment="0" applyProtection="0">
      <alignment vertical="center"/>
    </xf>
    <xf numFmtId="0" fontId="45" fillId="51" borderId="0" applyNumberFormat="0" applyBorder="0" applyAlignment="0" applyProtection="0">
      <alignment vertical="center"/>
    </xf>
    <xf numFmtId="0" fontId="45" fillId="55" borderId="0" applyNumberFormat="0" applyBorder="0" applyAlignment="0" applyProtection="0">
      <alignment vertical="center"/>
    </xf>
    <xf numFmtId="0" fontId="45" fillId="59" borderId="0" applyNumberFormat="0" applyBorder="0" applyAlignment="0" applyProtection="0">
      <alignment vertical="center"/>
    </xf>
    <xf numFmtId="0" fontId="9" fillId="11" borderId="0" applyNumberFormat="0" applyBorder="0" applyAlignment="0" applyProtection="0">
      <alignment vertical="center"/>
    </xf>
    <xf numFmtId="0" fontId="9" fillId="64" borderId="0" applyNumberFormat="0" applyBorder="0" applyAlignment="0" applyProtection="0">
      <alignment vertical="center"/>
    </xf>
    <xf numFmtId="0" fontId="9" fillId="19" borderId="0" applyNumberFormat="0" applyBorder="0" applyAlignment="0" applyProtection="0">
      <alignment vertical="center"/>
    </xf>
    <xf numFmtId="0" fontId="9" fillId="14" borderId="0" applyNumberFormat="0" applyBorder="0" applyAlignment="0" applyProtection="0">
      <alignment vertical="center"/>
    </xf>
    <xf numFmtId="0" fontId="9" fillId="17" borderId="0" applyNumberFormat="0" applyBorder="0" applyAlignment="0" applyProtection="0">
      <alignment vertical="center"/>
    </xf>
    <xf numFmtId="0" fontId="105" fillId="0" borderId="0" applyNumberFormat="0" applyFill="0" applyBorder="0" applyAlignment="0" applyProtection="0">
      <alignment vertical="center"/>
    </xf>
    <xf numFmtId="0" fontId="107" fillId="0" borderId="5" applyNumberFormat="0" applyFill="0" applyAlignment="0" applyProtection="0">
      <alignment vertical="center"/>
    </xf>
    <xf numFmtId="0" fontId="109" fillId="0" borderId="10" applyNumberFormat="0" applyFill="0" applyAlignment="0" applyProtection="0">
      <alignment vertical="center"/>
    </xf>
    <xf numFmtId="0" fontId="106" fillId="0" borderId="8" applyNumberFormat="0" applyFill="0" applyAlignment="0" applyProtection="0">
      <alignment vertical="center"/>
    </xf>
    <xf numFmtId="0" fontId="106" fillId="0" borderId="0" applyNumberFormat="0" applyFill="0" applyBorder="0" applyAlignment="0" applyProtection="0">
      <alignment vertical="center"/>
    </xf>
    <xf numFmtId="0" fontId="108" fillId="65" borderId="0" applyNumberFormat="0" applyBorder="0" applyAlignment="0" applyProtection="0">
      <alignment vertical="center"/>
    </xf>
    <xf numFmtId="177" fontId="45" fillId="0" borderId="0"/>
    <xf numFmtId="0" fontId="45" fillId="0" borderId="0">
      <alignment vertical="center"/>
    </xf>
    <xf numFmtId="0" fontId="110" fillId="0" borderId="0"/>
    <xf numFmtId="0" fontId="20" fillId="64" borderId="6" applyNumberFormat="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66" borderId="0" applyNumberFormat="0" applyBorder="0" applyAlignment="0" applyProtection="0">
      <alignment vertical="center"/>
    </xf>
    <xf numFmtId="0" fontId="9" fillId="67" borderId="0" applyNumberFormat="0" applyBorder="0" applyAlignment="0" applyProtection="0">
      <alignment vertical="center"/>
    </xf>
    <xf numFmtId="0" fontId="9" fillId="17" borderId="0" applyNumberFormat="0" applyBorder="0" applyAlignment="0" applyProtection="0">
      <alignment vertical="center"/>
    </xf>
    <xf numFmtId="0" fontId="21" fillId="64" borderId="9" applyNumberFormat="0" applyAlignment="0" applyProtection="0">
      <alignment vertical="center"/>
    </xf>
    <xf numFmtId="0" fontId="45" fillId="36" borderId="24" applyNumberFormat="0" applyFont="0" applyAlignment="0" applyProtection="0">
      <alignment vertical="center"/>
    </xf>
    <xf numFmtId="0" fontId="1" fillId="38" borderId="0" applyNumberFormat="0" applyBorder="0" applyAlignment="0" applyProtection="0">
      <alignment vertical="center"/>
    </xf>
    <xf numFmtId="0" fontId="1" fillId="39" borderId="0" applyNumberFormat="0" applyBorder="0" applyAlignment="0" applyProtection="0">
      <alignment vertical="center"/>
    </xf>
    <xf numFmtId="0" fontId="1" fillId="42" borderId="0" applyNumberFormat="0" applyBorder="0" applyAlignment="0" applyProtection="0">
      <alignment vertical="center"/>
    </xf>
    <xf numFmtId="0" fontId="1" fillId="43" borderId="0" applyNumberFormat="0" applyBorder="0" applyAlignment="0" applyProtection="0">
      <alignment vertical="center"/>
    </xf>
    <xf numFmtId="0" fontId="1" fillId="46" borderId="0" applyNumberFormat="0" applyBorder="0" applyAlignment="0" applyProtection="0">
      <alignment vertical="center"/>
    </xf>
    <xf numFmtId="0" fontId="1" fillId="47" borderId="0" applyNumberFormat="0" applyBorder="0" applyAlignment="0" applyProtection="0">
      <alignment vertical="center"/>
    </xf>
    <xf numFmtId="0" fontId="1" fillId="50" borderId="0" applyNumberFormat="0" applyBorder="0" applyAlignment="0" applyProtection="0">
      <alignment vertical="center"/>
    </xf>
    <xf numFmtId="0" fontId="1" fillId="51" borderId="0" applyNumberFormat="0" applyBorder="0" applyAlignment="0" applyProtection="0">
      <alignment vertical="center"/>
    </xf>
    <xf numFmtId="0" fontId="1" fillId="54" borderId="0" applyNumberFormat="0" applyBorder="0" applyAlignment="0" applyProtection="0">
      <alignment vertical="center"/>
    </xf>
    <xf numFmtId="0" fontId="1" fillId="55" borderId="0" applyNumberFormat="0" applyBorder="0" applyAlignment="0" applyProtection="0">
      <alignment vertical="center"/>
    </xf>
    <xf numFmtId="0" fontId="1" fillId="58" borderId="0" applyNumberFormat="0" applyBorder="0" applyAlignment="0" applyProtection="0">
      <alignment vertical="center"/>
    </xf>
    <xf numFmtId="0" fontId="1" fillId="59" borderId="0" applyNumberFormat="0" applyBorder="0" applyAlignment="0" applyProtection="0">
      <alignment vertical="center"/>
    </xf>
    <xf numFmtId="0" fontId="1" fillId="0" borderId="0">
      <alignment vertical="center"/>
    </xf>
    <xf numFmtId="0" fontId="1" fillId="36" borderId="24" applyNumberFormat="0" applyFont="0" applyAlignment="0" applyProtection="0">
      <alignment vertical="center"/>
    </xf>
    <xf numFmtId="0" fontId="1" fillId="0" borderId="0">
      <alignment vertical="center"/>
    </xf>
    <xf numFmtId="0" fontId="1" fillId="36" borderId="24" applyNumberFormat="0" applyFont="0" applyAlignment="0" applyProtection="0">
      <alignment vertical="center"/>
    </xf>
    <xf numFmtId="0" fontId="1" fillId="38" borderId="0" applyNumberFormat="0" applyBorder="0" applyAlignment="0" applyProtection="0">
      <alignment vertical="center"/>
    </xf>
    <xf numFmtId="0" fontId="1" fillId="39" borderId="0" applyNumberFormat="0" applyBorder="0" applyAlignment="0" applyProtection="0">
      <alignment vertical="center"/>
    </xf>
    <xf numFmtId="0" fontId="1" fillId="42" borderId="0" applyNumberFormat="0" applyBorder="0" applyAlignment="0" applyProtection="0">
      <alignment vertical="center"/>
    </xf>
    <xf numFmtId="0" fontId="1" fillId="43" borderId="0" applyNumberFormat="0" applyBorder="0" applyAlignment="0" applyProtection="0">
      <alignment vertical="center"/>
    </xf>
    <xf numFmtId="0" fontId="1" fillId="46" borderId="0" applyNumberFormat="0" applyBorder="0" applyAlignment="0" applyProtection="0">
      <alignment vertical="center"/>
    </xf>
    <xf numFmtId="0" fontId="1" fillId="47" borderId="0" applyNumberFormat="0" applyBorder="0" applyAlignment="0" applyProtection="0">
      <alignment vertical="center"/>
    </xf>
    <xf numFmtId="0" fontId="1" fillId="50" borderId="0" applyNumberFormat="0" applyBorder="0" applyAlignment="0" applyProtection="0">
      <alignment vertical="center"/>
    </xf>
    <xf numFmtId="0" fontId="1" fillId="51" borderId="0" applyNumberFormat="0" applyBorder="0" applyAlignment="0" applyProtection="0">
      <alignment vertical="center"/>
    </xf>
    <xf numFmtId="0" fontId="1" fillId="54" borderId="0" applyNumberFormat="0" applyBorder="0" applyAlignment="0" applyProtection="0">
      <alignment vertical="center"/>
    </xf>
    <xf numFmtId="0" fontId="1" fillId="55" borderId="0" applyNumberFormat="0" applyBorder="0" applyAlignment="0" applyProtection="0">
      <alignment vertical="center"/>
    </xf>
    <xf numFmtId="0" fontId="1" fillId="58" borderId="0" applyNumberFormat="0" applyBorder="0" applyAlignment="0" applyProtection="0">
      <alignment vertical="center"/>
    </xf>
    <xf numFmtId="0" fontId="1" fillId="59" borderId="0" applyNumberFormat="0" applyBorder="0" applyAlignment="0" applyProtection="0">
      <alignment vertical="center"/>
    </xf>
    <xf numFmtId="0" fontId="1" fillId="0" borderId="0">
      <alignment vertical="center"/>
    </xf>
    <xf numFmtId="0" fontId="103" fillId="0" borderId="0"/>
    <xf numFmtId="0" fontId="1" fillId="38" borderId="0" applyNumberFormat="0" applyBorder="0" applyAlignment="0" applyProtection="0">
      <alignment vertical="center"/>
    </xf>
    <xf numFmtId="0" fontId="1" fillId="42" borderId="0" applyNumberFormat="0" applyBorder="0" applyAlignment="0" applyProtection="0">
      <alignment vertical="center"/>
    </xf>
    <xf numFmtId="0" fontId="1" fillId="46" borderId="0" applyNumberFormat="0" applyBorder="0" applyAlignment="0" applyProtection="0">
      <alignment vertical="center"/>
    </xf>
    <xf numFmtId="0" fontId="1" fillId="50" borderId="0" applyNumberFormat="0" applyBorder="0" applyAlignment="0" applyProtection="0">
      <alignment vertical="center"/>
    </xf>
    <xf numFmtId="0" fontId="1" fillId="54" borderId="0" applyNumberFormat="0" applyBorder="0" applyAlignment="0" applyProtection="0">
      <alignment vertical="center"/>
    </xf>
    <xf numFmtId="0" fontId="1" fillId="58" borderId="0" applyNumberFormat="0" applyBorder="0" applyAlignment="0" applyProtection="0">
      <alignment vertical="center"/>
    </xf>
    <xf numFmtId="0" fontId="1" fillId="39" borderId="0" applyNumberFormat="0" applyBorder="0" applyAlignment="0" applyProtection="0">
      <alignment vertical="center"/>
    </xf>
    <xf numFmtId="0" fontId="1" fillId="43" borderId="0" applyNumberFormat="0" applyBorder="0" applyAlignment="0" applyProtection="0">
      <alignment vertical="center"/>
    </xf>
    <xf numFmtId="0" fontId="1" fillId="47" borderId="0" applyNumberFormat="0" applyBorder="0" applyAlignment="0" applyProtection="0">
      <alignment vertical="center"/>
    </xf>
    <xf numFmtId="0" fontId="1" fillId="51" borderId="0" applyNumberFormat="0" applyBorder="0" applyAlignment="0" applyProtection="0">
      <alignment vertical="center"/>
    </xf>
    <xf numFmtId="0" fontId="1" fillId="55" borderId="0" applyNumberFormat="0" applyBorder="0" applyAlignment="0" applyProtection="0">
      <alignment vertical="center"/>
    </xf>
    <xf numFmtId="0" fontId="1" fillId="59" borderId="0" applyNumberFormat="0" applyBorder="0" applyAlignment="0" applyProtection="0">
      <alignment vertical="center"/>
    </xf>
    <xf numFmtId="0" fontId="1" fillId="0" borderId="0">
      <alignment vertical="center"/>
    </xf>
    <xf numFmtId="0" fontId="1" fillId="36" borderId="24" applyNumberFormat="0" applyFont="0" applyAlignment="0" applyProtection="0">
      <alignment vertical="center"/>
    </xf>
    <xf numFmtId="0" fontId="1" fillId="36" borderId="24" applyNumberFormat="0" applyFont="0" applyAlignment="0" applyProtection="0">
      <alignment vertical="center"/>
    </xf>
    <xf numFmtId="9" fontId="103" fillId="0" borderId="0" applyFont="0" applyFill="0" applyBorder="0" applyAlignment="0" applyProtection="0">
      <alignment vertical="center"/>
    </xf>
  </cellStyleXfs>
  <cellXfs count="344">
    <xf numFmtId="0" fontId="0" fillId="0" borderId="0" xfId="0">
      <alignment vertical="center"/>
    </xf>
    <xf numFmtId="0" fontId="26" fillId="23" borderId="1" xfId="0" applyFont="1" applyFill="1" applyBorder="1" applyAlignment="1">
      <alignment horizontal="left" vertical="center"/>
    </xf>
    <xf numFmtId="0" fontId="26" fillId="23" borderId="1" xfId="0" applyFont="1" applyFill="1" applyBorder="1" applyAlignment="1">
      <alignment horizontal="left" vertical="center" wrapText="1"/>
    </xf>
    <xf numFmtId="0" fontId="27" fillId="23" borderId="1" xfId="0" applyFont="1" applyFill="1" applyBorder="1" applyAlignment="1">
      <alignment horizontal="left" vertical="center"/>
    </xf>
    <xf numFmtId="0" fontId="26" fillId="25" borderId="1" xfId="0" applyFont="1" applyFill="1" applyBorder="1" applyAlignment="1">
      <alignment horizontal="left" vertical="center"/>
    </xf>
    <xf numFmtId="0" fontId="28" fillId="3" borderId="1" xfId="0" applyFont="1" applyFill="1" applyBorder="1" applyAlignment="1">
      <alignment horizontal="left" vertical="center" wrapText="1"/>
    </xf>
    <xf numFmtId="49" fontId="28" fillId="3" borderId="1" xfId="0" applyNumberFormat="1" applyFont="1" applyFill="1" applyBorder="1" applyAlignment="1">
      <alignment horizontal="left" vertical="center" wrapText="1"/>
    </xf>
    <xf numFmtId="0" fontId="28" fillId="21" borderId="1" xfId="0" applyFont="1" applyFill="1" applyBorder="1" applyAlignment="1">
      <alignment horizontal="left" vertical="center" wrapText="1"/>
    </xf>
    <xf numFmtId="0" fontId="29" fillId="5" borderId="1" xfId="0" applyFont="1" applyFill="1" applyBorder="1" applyAlignment="1">
      <alignment horizontal="left" vertical="center" wrapText="1"/>
    </xf>
    <xf numFmtId="49" fontId="29" fillId="5" borderId="1" xfId="0" applyNumberFormat="1" applyFont="1" applyFill="1" applyBorder="1" applyAlignment="1">
      <alignment horizontal="left" vertical="center" wrapText="1"/>
    </xf>
    <xf numFmtId="0" fontId="30" fillId="22" borderId="1" xfId="0" applyFont="1" applyFill="1" applyBorder="1" applyAlignment="1">
      <alignment horizontal="left" vertical="center" wrapText="1"/>
    </xf>
    <xf numFmtId="49" fontId="31" fillId="20" borderId="1" xfId="0" applyNumberFormat="1" applyFont="1" applyFill="1" applyBorder="1" applyAlignment="1">
      <alignment horizontal="left" vertical="center" wrapText="1"/>
    </xf>
    <xf numFmtId="0" fontId="31" fillId="20" borderId="1" xfId="0" applyFont="1" applyFill="1" applyBorder="1" applyAlignment="1">
      <alignment horizontal="left" vertical="center" wrapText="1"/>
    </xf>
    <xf numFmtId="49" fontId="27" fillId="20" borderId="1" xfId="0" applyNumberFormat="1" applyFont="1" applyFill="1" applyBorder="1" applyAlignment="1">
      <alignment horizontal="left" vertical="center" wrapText="1"/>
    </xf>
    <xf numFmtId="0" fontId="27" fillId="20" borderId="1" xfId="0" applyFont="1" applyFill="1" applyBorder="1" applyAlignment="1">
      <alignment horizontal="left" vertical="center" wrapText="1"/>
    </xf>
    <xf numFmtId="49" fontId="32" fillId="20" borderId="1" xfId="0" applyNumberFormat="1" applyFont="1" applyFill="1" applyBorder="1" applyAlignment="1">
      <alignment horizontal="left" vertical="center" wrapText="1"/>
    </xf>
    <xf numFmtId="0" fontId="31" fillId="25" borderId="1" xfId="0" applyFont="1" applyFill="1" applyBorder="1" applyAlignment="1">
      <alignment horizontal="left" vertical="center" wrapText="1"/>
    </xf>
    <xf numFmtId="0" fontId="31" fillId="25" borderId="1" xfId="0" applyNumberFormat="1" applyFont="1" applyFill="1" applyBorder="1" applyAlignment="1">
      <alignment horizontal="left" vertical="center" wrapText="1"/>
    </xf>
    <xf numFmtId="49" fontId="27" fillId="25" borderId="1" xfId="0" applyNumberFormat="1" applyFont="1" applyFill="1" applyBorder="1" applyAlignment="1">
      <alignment horizontal="left" vertical="center" wrapText="1"/>
    </xf>
    <xf numFmtId="49" fontId="31" fillId="25" borderId="1" xfId="0" applyNumberFormat="1" applyFont="1" applyFill="1" applyBorder="1" applyAlignment="1">
      <alignment horizontal="left" vertical="center" wrapText="1"/>
    </xf>
    <xf numFmtId="49" fontId="27" fillId="23" borderId="1" xfId="0" applyNumberFormat="1" applyFont="1" applyFill="1" applyBorder="1" applyAlignment="1">
      <alignment horizontal="left" vertical="center" wrapText="1"/>
    </xf>
    <xf numFmtId="0" fontId="27" fillId="23" borderId="1" xfId="0" applyFont="1" applyFill="1" applyBorder="1" applyAlignment="1">
      <alignment horizontal="left" vertical="center" wrapText="1"/>
    </xf>
    <xf numFmtId="0" fontId="31" fillId="23" borderId="1" xfId="0" applyFont="1" applyFill="1" applyBorder="1" applyAlignment="1">
      <alignment horizontal="left" vertical="center" wrapText="1"/>
    </xf>
    <xf numFmtId="49" fontId="33" fillId="24" borderId="1" xfId="0" applyNumberFormat="1" applyFont="1" applyFill="1" applyBorder="1" applyAlignment="1">
      <alignment horizontal="left" vertical="center" wrapText="1"/>
    </xf>
    <xf numFmtId="0" fontId="33" fillId="24" borderId="1" xfId="0" applyFont="1" applyFill="1" applyBorder="1" applyAlignment="1">
      <alignment horizontal="left" vertical="center" wrapText="1"/>
    </xf>
    <xf numFmtId="0" fontId="27" fillId="23" borderId="1" xfId="0" applyNumberFormat="1" applyFont="1" applyFill="1" applyBorder="1" applyAlignment="1">
      <alignment horizontal="left" vertical="center" wrapText="1"/>
    </xf>
    <xf numFmtId="0" fontId="32" fillId="24" borderId="1" xfId="0" applyFont="1" applyFill="1" applyBorder="1" applyAlignment="1">
      <alignment horizontal="left" vertical="center" wrapText="1"/>
    </xf>
    <xf numFmtId="49" fontId="32" fillId="24" borderId="1" xfId="0" applyNumberFormat="1" applyFont="1" applyFill="1" applyBorder="1" applyAlignment="1">
      <alignment horizontal="left" vertical="center" wrapText="1"/>
    </xf>
    <xf numFmtId="0" fontId="27" fillId="24" borderId="1" xfId="0" applyFont="1" applyFill="1" applyBorder="1" applyAlignment="1">
      <alignment horizontal="left" vertical="center" wrapText="1"/>
    </xf>
    <xf numFmtId="0" fontId="27" fillId="20" borderId="1" xfId="0" applyNumberFormat="1" applyFont="1" applyFill="1" applyBorder="1" applyAlignment="1">
      <alignment horizontal="left" vertical="center" wrapText="1"/>
    </xf>
    <xf numFmtId="0" fontId="26" fillId="20" borderId="1" xfId="0" applyFont="1" applyFill="1" applyBorder="1" applyAlignment="1">
      <alignment horizontal="left" vertical="center" wrapText="1"/>
    </xf>
    <xf numFmtId="49" fontId="27" fillId="24" borderId="1" xfId="0" applyNumberFormat="1" applyFont="1" applyFill="1" applyBorder="1" applyAlignment="1">
      <alignment horizontal="left" vertical="center" wrapText="1"/>
    </xf>
    <xf numFmtId="0" fontId="32" fillId="20" borderId="1" xfId="0" applyFont="1" applyFill="1" applyBorder="1" applyAlignment="1">
      <alignment horizontal="left" vertical="center" wrapText="1"/>
    </xf>
    <xf numFmtId="49" fontId="31" fillId="23" borderId="1" xfId="0" applyNumberFormat="1" applyFont="1" applyFill="1" applyBorder="1" applyAlignment="1">
      <alignment horizontal="left" vertical="center" wrapText="1"/>
    </xf>
    <xf numFmtId="0" fontId="28" fillId="20" borderId="1" xfId="0" applyFont="1" applyFill="1" applyBorder="1" applyAlignment="1">
      <alignment horizontal="left" vertical="center" wrapText="1"/>
    </xf>
    <xf numFmtId="0" fontId="28" fillId="23" borderId="1" xfId="0" applyFont="1" applyFill="1" applyBorder="1" applyAlignment="1">
      <alignment horizontal="left" vertical="center" wrapText="1"/>
    </xf>
    <xf numFmtId="0" fontId="34" fillId="24" borderId="1" xfId="0" applyFont="1" applyFill="1" applyBorder="1" applyAlignment="1">
      <alignment horizontal="left" vertical="center" wrapText="1"/>
    </xf>
    <xf numFmtId="0" fontId="28" fillId="23" borderId="1" xfId="0" applyFont="1" applyFill="1" applyBorder="1" applyAlignment="1">
      <alignment horizontal="left" vertical="center"/>
    </xf>
    <xf numFmtId="0" fontId="28" fillId="24" borderId="1" xfId="0" applyFont="1" applyFill="1" applyBorder="1" applyAlignment="1">
      <alignment horizontal="left" vertical="center" wrapText="1"/>
    </xf>
    <xf numFmtId="49" fontId="35" fillId="21" borderId="1" xfId="0" applyNumberFormat="1" applyFont="1" applyFill="1" applyBorder="1" applyAlignment="1">
      <alignment horizontal="left" vertical="center" wrapText="1"/>
    </xf>
    <xf numFmtId="49" fontId="31" fillId="24" borderId="1" xfId="0" applyNumberFormat="1" applyFont="1" applyFill="1" applyBorder="1" applyAlignment="1">
      <alignment horizontal="left" vertical="center" wrapText="1"/>
    </xf>
    <xf numFmtId="0" fontId="31" fillId="24" borderId="1" xfId="0" applyFont="1" applyFill="1" applyBorder="1" applyAlignment="1">
      <alignment horizontal="left" vertical="center" wrapText="1"/>
    </xf>
    <xf numFmtId="0" fontId="26" fillId="24" borderId="1" xfId="0" applyFont="1" applyFill="1" applyBorder="1" applyAlignment="1">
      <alignment horizontal="left" vertical="center" wrapText="1"/>
    </xf>
    <xf numFmtId="49" fontId="33" fillId="23" borderId="1" xfId="0" applyNumberFormat="1" applyFont="1" applyFill="1" applyBorder="1" applyAlignment="1">
      <alignment horizontal="left" vertical="center" wrapText="1"/>
    </xf>
    <xf numFmtId="49" fontId="27" fillId="21" borderId="1" xfId="0" applyNumberFormat="1" applyFont="1" applyFill="1" applyBorder="1" applyAlignment="1">
      <alignment horizontal="left" vertical="center" wrapText="1"/>
    </xf>
    <xf numFmtId="0" fontId="27" fillId="4" borderId="0" xfId="0" applyFont="1" applyFill="1" applyBorder="1" applyAlignment="1">
      <alignment horizontal="left" vertical="center" wrapText="1"/>
    </xf>
    <xf numFmtId="49" fontId="30" fillId="22" borderId="1" xfId="0" applyNumberFormat="1" applyFont="1" applyFill="1" applyBorder="1" applyAlignment="1">
      <alignment horizontal="left" vertical="center" wrapText="1"/>
    </xf>
    <xf numFmtId="0" fontId="33" fillId="23" borderId="0" xfId="0" applyFont="1" applyFill="1" applyBorder="1" applyAlignment="1">
      <alignment horizontal="left" vertical="center" wrapText="1"/>
    </xf>
    <xf numFmtId="0" fontId="27" fillId="23" borderId="0" xfId="0" applyFont="1" applyFill="1" applyBorder="1" applyAlignment="1">
      <alignment horizontal="left" vertical="center" wrapText="1"/>
    </xf>
    <xf numFmtId="0" fontId="31" fillId="23" borderId="0" xfId="0" applyFont="1" applyFill="1" applyBorder="1" applyAlignment="1">
      <alignment horizontal="left" vertical="center" wrapText="1"/>
    </xf>
    <xf numFmtId="0" fontId="32" fillId="23" borderId="0" xfId="0" applyFont="1" applyFill="1" applyBorder="1" applyAlignment="1">
      <alignment horizontal="left" vertical="center" wrapText="1"/>
    </xf>
    <xf numFmtId="0" fontId="27" fillId="20" borderId="0" xfId="0" applyFont="1" applyFill="1" applyBorder="1" applyAlignment="1">
      <alignment horizontal="left" vertical="center" wrapText="1"/>
    </xf>
    <xf numFmtId="0" fontId="31" fillId="20" borderId="0" xfId="0" applyFont="1" applyFill="1" applyBorder="1" applyAlignment="1">
      <alignment horizontal="left" vertical="center" wrapText="1"/>
    </xf>
    <xf numFmtId="49" fontId="27" fillId="4" borderId="0" xfId="0" applyNumberFormat="1" applyFont="1" applyFill="1" applyBorder="1" applyAlignment="1">
      <alignment horizontal="left" vertical="center" wrapText="1"/>
    </xf>
    <xf numFmtId="0" fontId="28" fillId="4" borderId="0" xfId="0" applyFont="1" applyFill="1" applyBorder="1" applyAlignment="1">
      <alignment horizontal="left" vertical="center" wrapText="1"/>
    </xf>
    <xf numFmtId="0" fontId="31" fillId="24" borderId="1" xfId="0" applyFont="1" applyFill="1" applyBorder="1" applyAlignment="1">
      <alignment horizontal="left" vertical="center"/>
    </xf>
    <xf numFmtId="0" fontId="31" fillId="24" borderId="1" xfId="0" applyNumberFormat="1" applyFont="1" applyFill="1" applyBorder="1" applyAlignment="1">
      <alignment horizontal="left" vertical="center"/>
    </xf>
    <xf numFmtId="49" fontId="31" fillId="24" borderId="1" xfId="0" applyNumberFormat="1" applyFont="1" applyFill="1" applyBorder="1" applyAlignment="1">
      <alignment horizontal="left" vertical="center"/>
    </xf>
    <xf numFmtId="0" fontId="30" fillId="22" borderId="0" xfId="0" applyFont="1" applyFill="1" applyAlignment="1">
      <alignment horizontal="left" vertical="center"/>
    </xf>
    <xf numFmtId="0" fontId="27" fillId="0" borderId="1" xfId="0" applyFont="1" applyBorder="1" applyAlignment="1">
      <alignment horizontal="left" vertical="center"/>
    </xf>
    <xf numFmtId="0" fontId="27" fillId="20" borderId="1" xfId="0" applyFont="1" applyFill="1" applyBorder="1" applyAlignment="1">
      <alignment horizontal="left" vertical="center"/>
    </xf>
    <xf numFmtId="0" fontId="30" fillId="22" borderId="0" xfId="0" applyFont="1" applyFill="1" applyAlignment="1">
      <alignment horizontal="left" vertical="center" wrapText="1"/>
    </xf>
    <xf numFmtId="0" fontId="33" fillId="24" borderId="0" xfId="0" applyFont="1" applyFill="1" applyBorder="1" applyAlignment="1">
      <alignment horizontal="left" vertical="center" wrapText="1"/>
    </xf>
    <xf numFmtId="0" fontId="27" fillId="26" borderId="0" xfId="0" applyFont="1" applyFill="1" applyBorder="1" applyAlignment="1">
      <alignment horizontal="left" vertical="center" wrapText="1"/>
    </xf>
    <xf numFmtId="0" fontId="27" fillId="26" borderId="15" xfId="0" applyFont="1" applyFill="1" applyBorder="1" applyAlignment="1">
      <alignment horizontal="left" vertical="center" wrapText="1"/>
    </xf>
    <xf numFmtId="0" fontId="27" fillId="26" borderId="14" xfId="0" applyFont="1" applyFill="1" applyBorder="1" applyAlignment="1">
      <alignment horizontal="left" vertical="center" wrapText="1"/>
    </xf>
    <xf numFmtId="0" fontId="27" fillId="24" borderId="0" xfId="0" applyFont="1" applyFill="1" applyBorder="1" applyAlignment="1">
      <alignment horizontal="left" vertical="center" wrapText="1"/>
    </xf>
    <xf numFmtId="0" fontId="27" fillId="28" borderId="0"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44" fillId="4" borderId="1" xfId="96" applyNumberFormat="1" applyFont="1" applyFill="1" applyBorder="1" applyAlignment="1">
      <alignment vertical="center"/>
    </xf>
    <xf numFmtId="0" fontId="0" fillId="0" borderId="0" xfId="0" applyAlignment="1">
      <alignment horizontal="center" vertical="center" wrapText="1"/>
    </xf>
    <xf numFmtId="0" fontId="27" fillId="0" borderId="11" xfId="0" applyFont="1" applyBorder="1" applyAlignment="1">
      <alignment horizontal="left" vertical="center"/>
    </xf>
    <xf numFmtId="0" fontId="27" fillId="4" borderId="0" xfId="0" applyFont="1" applyFill="1" applyBorder="1" applyAlignment="1">
      <alignment horizontal="left" vertical="center"/>
    </xf>
    <xf numFmtId="0" fontId="27" fillId="0" borderId="0" xfId="0" applyFont="1" applyAlignment="1">
      <alignment horizontal="left" vertical="center"/>
    </xf>
    <xf numFmtId="0" fontId="31" fillId="29" borderId="1" xfId="0" applyFont="1" applyFill="1" applyBorder="1" applyAlignment="1">
      <alignment horizontal="left" vertical="center" wrapText="1"/>
    </xf>
    <xf numFmtId="0" fontId="31" fillId="29" borderId="0" xfId="0" applyFont="1" applyFill="1" applyBorder="1" applyAlignment="1">
      <alignment horizontal="left" vertical="center" wrapText="1"/>
    </xf>
    <xf numFmtId="0" fontId="27" fillId="29" borderId="1" xfId="0" applyFont="1" applyFill="1" applyBorder="1" applyAlignment="1">
      <alignment horizontal="left" vertical="center" wrapText="1"/>
    </xf>
    <xf numFmtId="0" fontId="27" fillId="29" borderId="0" xfId="0" applyFont="1" applyFill="1" applyBorder="1" applyAlignment="1">
      <alignment horizontal="left" vertical="center" wrapText="1"/>
    </xf>
    <xf numFmtId="0" fontId="62" fillId="29" borderId="1" xfId="0" applyFont="1" applyFill="1" applyBorder="1" applyAlignment="1">
      <alignment horizontal="left" vertical="center" wrapText="1"/>
    </xf>
    <xf numFmtId="0" fontId="62" fillId="29" borderId="1" xfId="0" applyFont="1" applyFill="1" applyBorder="1" applyAlignment="1">
      <alignment horizontal="left" vertical="center"/>
    </xf>
    <xf numFmtId="0" fontId="62" fillId="29" borderId="0" xfId="0" applyFont="1" applyFill="1" applyBorder="1" applyAlignment="1">
      <alignment horizontal="left" vertical="center" wrapText="1"/>
    </xf>
    <xf numFmtId="0" fontId="27" fillId="29" borderId="1" xfId="0" applyFont="1" applyFill="1" applyBorder="1" applyAlignment="1">
      <alignment horizontal="left" vertical="center"/>
    </xf>
    <xf numFmtId="0" fontId="28" fillId="3" borderId="1" xfId="0" applyFont="1" applyFill="1" applyBorder="1" applyAlignment="1">
      <alignment horizontal="left" vertical="center"/>
    </xf>
    <xf numFmtId="0" fontId="27" fillId="26" borderId="1" xfId="0" applyFont="1" applyFill="1" applyBorder="1" applyAlignment="1">
      <alignment horizontal="left" vertical="center" wrapText="1"/>
    </xf>
    <xf numFmtId="0" fontId="27" fillId="28" borderId="1" xfId="0" applyFont="1" applyFill="1" applyBorder="1" applyAlignment="1">
      <alignment horizontal="left" vertical="center" wrapText="1"/>
    </xf>
    <xf numFmtId="0" fontId="29" fillId="5" borderId="1" xfId="0" applyFont="1" applyFill="1" applyBorder="1" applyAlignment="1">
      <alignment horizontal="left" vertical="center"/>
    </xf>
    <xf numFmtId="0" fontId="30" fillId="27" borderId="1" xfId="0" applyFont="1" applyFill="1" applyBorder="1" applyAlignment="1">
      <alignment horizontal="left" vertical="center" wrapText="1"/>
    </xf>
    <xf numFmtId="0" fontId="28" fillId="26" borderId="1" xfId="0" applyFont="1" applyFill="1" applyBorder="1" applyAlignment="1">
      <alignment horizontal="left" vertical="center" wrapText="1"/>
    </xf>
    <xf numFmtId="0" fontId="26" fillId="21" borderId="1" xfId="0" applyFont="1" applyFill="1" applyBorder="1" applyAlignment="1">
      <alignment horizontal="left" vertical="center"/>
    </xf>
    <xf numFmtId="0" fontId="26" fillId="28" borderId="1" xfId="0" applyFont="1" applyFill="1" applyBorder="1" applyAlignment="1">
      <alignment horizontal="left" vertical="center"/>
    </xf>
    <xf numFmtId="0" fontId="8" fillId="24" borderId="1" xfId="0" applyNumberFormat="1" applyFont="1" applyFill="1" applyBorder="1" applyAlignment="1">
      <alignment horizontal="left" vertical="center"/>
    </xf>
    <xf numFmtId="0" fontId="31" fillId="24" borderId="1" xfId="86" applyFont="1" applyFill="1" applyBorder="1" applyAlignment="1">
      <alignment horizontal="left" vertical="center"/>
    </xf>
    <xf numFmtId="0" fontId="31" fillId="29" borderId="1" xfId="0" applyFont="1" applyFill="1" applyBorder="1" applyAlignment="1">
      <alignment horizontal="left" vertical="center"/>
    </xf>
    <xf numFmtId="49" fontId="27" fillId="29" borderId="1" xfId="0" applyNumberFormat="1" applyFont="1" applyFill="1" applyBorder="1" applyAlignment="1">
      <alignment horizontal="left" vertical="center" wrapText="1"/>
    </xf>
    <xf numFmtId="49" fontId="31" fillId="29" borderId="1" xfId="0" applyNumberFormat="1" applyFont="1" applyFill="1" applyBorder="1" applyAlignment="1">
      <alignment horizontal="left" vertical="center" wrapText="1"/>
    </xf>
    <xf numFmtId="0" fontId="26" fillId="29" borderId="1" xfId="0" applyFont="1" applyFill="1" applyBorder="1" applyAlignment="1">
      <alignment horizontal="left" vertical="center"/>
    </xf>
    <xf numFmtId="0" fontId="31" fillId="29" borderId="1" xfId="0" applyNumberFormat="1" applyFont="1" applyFill="1" applyBorder="1" applyAlignment="1">
      <alignment horizontal="left" vertical="center"/>
    </xf>
    <xf numFmtId="0" fontId="26" fillId="29" borderId="1" xfId="0" applyFont="1" applyFill="1" applyBorder="1" applyAlignment="1">
      <alignment horizontal="left" vertical="center" wrapText="1"/>
    </xf>
    <xf numFmtId="0" fontId="28" fillId="29" borderId="1" xfId="0" applyFont="1" applyFill="1" applyBorder="1" applyAlignment="1">
      <alignment horizontal="left" vertical="center"/>
    </xf>
    <xf numFmtId="0" fontId="28" fillId="29" borderId="1" xfId="0" applyFont="1" applyFill="1" applyBorder="1" applyAlignment="1">
      <alignment horizontal="left" vertical="center" wrapText="1"/>
    </xf>
    <xf numFmtId="0" fontId="27" fillId="29" borderId="1" xfId="0" applyNumberFormat="1" applyFont="1" applyFill="1" applyBorder="1" applyAlignment="1">
      <alignment horizontal="left" vertical="center" wrapText="1"/>
    </xf>
    <xf numFmtId="49" fontId="62" fillId="29" borderId="1" xfId="0" applyNumberFormat="1" applyFont="1" applyFill="1" applyBorder="1" applyAlignment="1">
      <alignment horizontal="left" vertical="center" wrapText="1"/>
    </xf>
    <xf numFmtId="0" fontId="62" fillId="29" borderId="1" xfId="0" applyNumberFormat="1" applyFont="1" applyFill="1" applyBorder="1" applyAlignment="1">
      <alignment horizontal="left" vertical="center"/>
    </xf>
    <xf numFmtId="0" fontId="62" fillId="29" borderId="1" xfId="89" applyFont="1" applyFill="1" applyBorder="1" applyAlignment="1">
      <alignment horizontal="left" vertical="center"/>
    </xf>
    <xf numFmtId="0" fontId="31" fillId="29" borderId="12" xfId="0" applyFont="1" applyFill="1" applyBorder="1" applyAlignment="1">
      <alignment horizontal="left" vertical="center" wrapText="1"/>
    </xf>
    <xf numFmtId="0" fontId="31" fillId="29" borderId="12" xfId="0" applyNumberFormat="1" applyFont="1" applyFill="1" applyBorder="1" applyAlignment="1">
      <alignment horizontal="left" vertical="center" wrapText="1"/>
    </xf>
    <xf numFmtId="0" fontId="31" fillId="29" borderId="12" xfId="0" applyFont="1" applyFill="1" applyBorder="1" applyAlignment="1">
      <alignment horizontal="left" vertical="center"/>
    </xf>
    <xf numFmtId="49" fontId="27" fillId="29" borderId="12" xfId="0" applyNumberFormat="1" applyFont="1" applyFill="1" applyBorder="1" applyAlignment="1">
      <alignment horizontal="left" vertical="center" wrapText="1"/>
    </xf>
    <xf numFmtId="49" fontId="31" fillId="29" borderId="12" xfId="0" applyNumberFormat="1" applyFont="1" applyFill="1" applyBorder="1" applyAlignment="1">
      <alignment horizontal="left" vertical="center" wrapText="1"/>
    </xf>
    <xf numFmtId="0" fontId="26" fillId="29" borderId="12" xfId="0" applyFont="1" applyFill="1" applyBorder="1" applyAlignment="1">
      <alignment horizontal="left" vertical="center"/>
    </xf>
    <xf numFmtId="0" fontId="27" fillId="0" borderId="11" xfId="0" applyFont="1" applyBorder="1" applyAlignment="1">
      <alignment horizontal="left" vertical="center"/>
    </xf>
    <xf numFmtId="0" fontId="27" fillId="61" borderId="1" xfId="0" applyFont="1" applyFill="1" applyBorder="1" applyAlignment="1">
      <alignment horizontal="left" vertical="center"/>
    </xf>
    <xf numFmtId="0" fontId="27" fillId="24" borderId="1" xfId="0" applyFont="1" applyFill="1" applyBorder="1" applyAlignment="1">
      <alignment horizontal="left" vertical="center" wrapText="1"/>
    </xf>
    <xf numFmtId="0" fontId="31" fillId="24" borderId="1" xfId="0" applyNumberFormat="1" applyFont="1" applyFill="1" applyBorder="1" applyAlignment="1">
      <alignment horizontal="left" vertical="center"/>
    </xf>
    <xf numFmtId="0" fontId="38" fillId="24" borderId="1" xfId="0" applyFont="1" applyFill="1" applyBorder="1">
      <alignment vertical="center"/>
    </xf>
    <xf numFmtId="49" fontId="31" fillId="29" borderId="1" xfId="0" applyNumberFormat="1" applyFont="1" applyFill="1" applyBorder="1" applyAlignment="1">
      <alignment horizontal="left" vertical="center"/>
    </xf>
    <xf numFmtId="0" fontId="33" fillId="29" borderId="0" xfId="0" applyFont="1" applyFill="1" applyBorder="1" applyAlignment="1">
      <alignment horizontal="left" vertical="center" wrapText="1"/>
    </xf>
    <xf numFmtId="0" fontId="31" fillId="29" borderId="1" xfId="86" applyFont="1" applyFill="1" applyBorder="1" applyAlignment="1">
      <alignment horizontal="left" vertical="center"/>
    </xf>
    <xf numFmtId="0" fontId="0" fillId="29" borderId="1" xfId="0" applyFill="1" applyBorder="1" applyAlignment="1">
      <alignment vertical="center"/>
    </xf>
    <xf numFmtId="0" fontId="31" fillId="29" borderId="1" xfId="87" applyFont="1" applyFill="1" applyBorder="1" applyAlignment="1">
      <alignment horizontal="left" vertical="center"/>
    </xf>
    <xf numFmtId="0" fontId="31" fillId="29" borderId="1" xfId="88" applyFont="1" applyFill="1" applyBorder="1" applyAlignment="1">
      <alignment horizontal="left" vertical="center"/>
    </xf>
    <xf numFmtId="49" fontId="32" fillId="29" borderId="1" xfId="0" applyNumberFormat="1" applyFont="1" applyFill="1" applyBorder="1" applyAlignment="1">
      <alignment horizontal="left" vertical="center" wrapText="1"/>
    </xf>
    <xf numFmtId="0" fontId="63" fillId="29" borderId="1" xfId="0" applyFont="1" applyFill="1" applyBorder="1" applyAlignment="1">
      <alignment horizontal="left" vertical="center" wrapText="1"/>
    </xf>
    <xf numFmtId="0" fontId="62" fillId="29" borderId="11" xfId="0" applyNumberFormat="1" applyFont="1" applyFill="1" applyBorder="1" applyAlignment="1">
      <alignment horizontal="left" vertical="center"/>
    </xf>
    <xf numFmtId="0" fontId="62" fillId="21" borderId="0" xfId="0" applyFont="1" applyFill="1" applyBorder="1" applyAlignment="1">
      <alignment horizontal="left" vertical="center" wrapText="1"/>
    </xf>
    <xf numFmtId="0" fontId="64" fillId="21" borderId="1" xfId="0" applyFont="1" applyFill="1" applyBorder="1" applyAlignment="1">
      <alignment horizontal="left" vertical="center"/>
    </xf>
    <xf numFmtId="0" fontId="65" fillId="21" borderId="1" xfId="0" applyNumberFormat="1" applyFont="1" applyFill="1" applyBorder="1" applyAlignment="1">
      <alignment horizontal="left" vertical="center"/>
    </xf>
    <xf numFmtId="0" fontId="44" fillId="21" borderId="1" xfId="0" applyNumberFormat="1" applyFont="1" applyFill="1" applyBorder="1" applyAlignment="1">
      <alignment horizontal="left" vertical="center"/>
    </xf>
    <xf numFmtId="0" fontId="40" fillId="21" borderId="1" xfId="0" applyNumberFormat="1" applyFont="1" applyFill="1" applyBorder="1" applyAlignment="1">
      <alignment horizontal="left" vertical="center"/>
    </xf>
    <xf numFmtId="0" fontId="66" fillId="21" borderId="1" xfId="0" applyNumberFormat="1" applyFont="1" applyFill="1" applyBorder="1" applyAlignment="1">
      <alignment horizontal="left" vertical="center"/>
    </xf>
    <xf numFmtId="0" fontId="27" fillId="21" borderId="1" xfId="0" applyNumberFormat="1" applyFont="1" applyFill="1" applyBorder="1" applyAlignment="1">
      <alignment horizontal="left" vertical="center"/>
    </xf>
    <xf numFmtId="0" fontId="24" fillId="0" borderId="0" xfId="0" applyFont="1">
      <alignment vertical="center"/>
    </xf>
    <xf numFmtId="0" fontId="31" fillId="29" borderId="1" xfId="85" applyFont="1" applyFill="1" applyBorder="1" applyAlignment="1">
      <alignment horizontal="left" vertical="center"/>
    </xf>
    <xf numFmtId="0" fontId="42" fillId="29" borderId="1" xfId="85" applyNumberFormat="1" applyFont="1" applyFill="1" applyBorder="1" applyAlignment="1">
      <alignment horizontal="left" vertical="center"/>
    </xf>
    <xf numFmtId="0" fontId="44" fillId="29" borderId="1" xfId="155" applyNumberFormat="1" applyFont="1" applyFill="1" applyBorder="1" applyAlignment="1">
      <alignment horizontal="left" vertical="center"/>
    </xf>
    <xf numFmtId="0" fontId="43" fillId="29" borderId="1" xfId="85" applyNumberFormat="1" applyFont="1" applyFill="1" applyBorder="1" applyAlignment="1">
      <alignment horizontal="left" vertical="center"/>
    </xf>
    <xf numFmtId="0" fontId="28" fillId="29" borderId="1" xfId="85" applyNumberFormat="1" applyFont="1" applyFill="1" applyBorder="1" applyAlignment="1">
      <alignment horizontal="left" vertical="center"/>
    </xf>
    <xf numFmtId="0" fontId="0" fillId="0" borderId="0" xfId="0" applyAlignment="1"/>
    <xf numFmtId="0" fontId="75" fillId="29" borderId="0" xfId="0" applyFont="1" applyFill="1" applyAlignment="1">
      <alignment horizontal="center" vertical="center"/>
    </xf>
    <xf numFmtId="0" fontId="75" fillId="29" borderId="1" xfId="0" applyFont="1" applyFill="1" applyBorder="1" applyAlignment="1">
      <alignment horizontal="center" vertical="center"/>
    </xf>
    <xf numFmtId="176" fontId="75" fillId="29" borderId="0" xfId="0" applyNumberFormat="1" applyFont="1" applyFill="1" applyAlignment="1">
      <alignment horizontal="center" vertical="center"/>
    </xf>
    <xf numFmtId="0" fontId="66" fillId="29" borderId="16" xfId="0" applyNumberFormat="1" applyFont="1" applyFill="1" applyBorder="1" applyAlignment="1">
      <alignment horizontal="left" vertical="center"/>
    </xf>
    <xf numFmtId="0" fontId="8" fillId="29" borderId="16" xfId="0" applyNumberFormat="1" applyFont="1" applyFill="1" applyBorder="1" applyAlignment="1">
      <alignment horizontal="left" vertical="center"/>
    </xf>
    <xf numFmtId="0" fontId="38" fillId="29" borderId="1" xfId="0" applyFont="1" applyFill="1" applyBorder="1" applyAlignment="1">
      <alignment horizontal="left" vertical="center" wrapText="1"/>
    </xf>
    <xf numFmtId="0" fontId="3" fillId="29" borderId="1" xfId="88" applyFont="1" applyFill="1" applyBorder="1" applyAlignment="1">
      <alignment horizontal="left" vertical="center"/>
    </xf>
    <xf numFmtId="0" fontId="38" fillId="29" borderId="1" xfId="0" applyFont="1" applyFill="1" applyBorder="1">
      <alignment vertical="center"/>
    </xf>
    <xf numFmtId="0" fontId="8" fillId="29" borderId="1" xfId="0" applyNumberFormat="1" applyFont="1" applyFill="1" applyBorder="1" applyAlignment="1">
      <alignment horizontal="left" vertical="center"/>
    </xf>
    <xf numFmtId="49" fontId="32" fillId="62" borderId="1" xfId="0" applyNumberFormat="1" applyFont="1" applyFill="1" applyBorder="1" applyAlignment="1">
      <alignment horizontal="left" vertical="center" wrapText="1"/>
    </xf>
    <xf numFmtId="0" fontId="32" fillId="62" borderId="1" xfId="0" applyFont="1" applyFill="1" applyBorder="1" applyAlignment="1">
      <alignment horizontal="left" vertical="center" wrapText="1"/>
    </xf>
    <xf numFmtId="49" fontId="77" fillId="62" borderId="1" xfId="242" applyNumberFormat="1" applyFill="1" applyBorder="1" applyAlignment="1" applyProtection="1">
      <alignment horizontal="left" vertical="center" wrapText="1"/>
    </xf>
    <xf numFmtId="49" fontId="32" fillId="62" borderId="1" xfId="0" applyNumberFormat="1" applyFont="1" applyFill="1" applyBorder="1" applyAlignment="1">
      <alignment horizontal="left" vertical="center"/>
    </xf>
    <xf numFmtId="49" fontId="33" fillId="62" borderId="1" xfId="0" applyNumberFormat="1" applyFont="1" applyFill="1" applyBorder="1" applyAlignment="1">
      <alignment horizontal="left" vertical="center" wrapText="1"/>
    </xf>
    <xf numFmtId="49" fontId="27" fillId="62" borderId="1" xfId="0" applyNumberFormat="1" applyFont="1" applyFill="1" applyBorder="1" applyAlignment="1">
      <alignment horizontal="left" vertical="center" wrapText="1"/>
    </xf>
    <xf numFmtId="0" fontId="28" fillId="62" borderId="1" xfId="0" applyFont="1" applyFill="1" applyBorder="1" applyAlignment="1">
      <alignment horizontal="left" vertical="center" wrapText="1"/>
    </xf>
    <xf numFmtId="0" fontId="27" fillId="62" borderId="1" xfId="0" applyFont="1" applyFill="1" applyBorder="1" applyAlignment="1">
      <alignment horizontal="left" vertical="center" wrapText="1"/>
    </xf>
    <xf numFmtId="0" fontId="31" fillId="62" borderId="1" xfId="0" applyNumberFormat="1" applyFont="1" applyFill="1" applyBorder="1" applyAlignment="1">
      <alignment horizontal="left" vertical="center"/>
    </xf>
    <xf numFmtId="0" fontId="40" fillId="62" borderId="1" xfId="0" applyNumberFormat="1" applyFont="1" applyFill="1" applyBorder="1" applyAlignment="1">
      <alignment horizontal="left" vertical="center"/>
    </xf>
    <xf numFmtId="0" fontId="33" fillId="62" borderId="1" xfId="0" applyFont="1" applyFill="1" applyBorder="1" applyAlignment="1">
      <alignment horizontal="left" vertical="center"/>
    </xf>
    <xf numFmtId="0" fontId="31" fillId="62" borderId="1" xfId="155" applyFont="1" applyFill="1" applyBorder="1" applyAlignment="1">
      <alignment horizontal="left" vertical="center"/>
    </xf>
    <xf numFmtId="0" fontId="3" fillId="62" borderId="1" xfId="155" applyFont="1" applyFill="1" applyBorder="1" applyAlignment="1">
      <alignment horizontal="left" vertical="center"/>
    </xf>
    <xf numFmtId="0" fontId="31" fillId="62" borderId="1" xfId="0" applyFont="1" applyFill="1" applyBorder="1" applyAlignment="1">
      <alignment horizontal="left" vertical="center" wrapText="1"/>
    </xf>
    <xf numFmtId="49" fontId="62" fillId="29" borderId="1" xfId="0" applyNumberFormat="1" applyFont="1" applyFill="1" applyBorder="1" applyAlignment="1">
      <alignment horizontal="left" vertical="center"/>
    </xf>
    <xf numFmtId="0" fontId="80" fillId="29" borderId="0" xfId="0" applyNumberFormat="1" applyFont="1" applyFill="1" applyBorder="1" applyAlignment="1">
      <alignment horizontal="left" vertical="center"/>
    </xf>
    <xf numFmtId="0" fontId="80" fillId="29" borderId="16" xfId="0" applyNumberFormat="1" applyFont="1" applyFill="1" applyBorder="1" applyAlignment="1">
      <alignment horizontal="left" vertical="center"/>
    </xf>
    <xf numFmtId="0" fontId="86" fillId="62" borderId="1" xfId="155" applyFont="1" applyFill="1" applyBorder="1" applyAlignment="1">
      <alignment horizontal="left" vertical="center"/>
    </xf>
    <xf numFmtId="0" fontId="2" fillId="62" borderId="1" xfId="155" applyFont="1" applyFill="1" applyBorder="1" applyAlignment="1">
      <alignment horizontal="left" vertical="center"/>
    </xf>
    <xf numFmtId="0" fontId="79" fillId="62" borderId="1" xfId="155" applyNumberFormat="1" applyFont="1" applyFill="1" applyBorder="1" applyAlignment="1">
      <alignment horizontal="left" vertical="center"/>
    </xf>
    <xf numFmtId="49" fontId="31" fillId="63" borderId="1" xfId="0" applyNumberFormat="1" applyFont="1" applyFill="1" applyBorder="1" applyAlignment="1">
      <alignment horizontal="left" vertical="center" wrapText="1"/>
    </xf>
    <xf numFmtId="0" fontId="31" fillId="63" borderId="1" xfId="0" applyFont="1" applyFill="1" applyBorder="1" applyAlignment="1">
      <alignment horizontal="left" vertical="center" wrapText="1"/>
    </xf>
    <xf numFmtId="0" fontId="31" fillId="63" borderId="1" xfId="0" applyFont="1" applyFill="1" applyBorder="1" applyAlignment="1">
      <alignment horizontal="left" vertical="center"/>
    </xf>
    <xf numFmtId="0" fontId="35" fillId="63" borderId="1" xfId="0" applyNumberFormat="1" applyFont="1" applyFill="1" applyBorder="1" applyAlignment="1">
      <alignment horizontal="left" vertical="center"/>
    </xf>
    <xf numFmtId="0" fontId="27" fillId="63" borderId="1" xfId="0" applyFont="1" applyFill="1" applyBorder="1" applyAlignment="1">
      <alignment horizontal="left" vertical="center" wrapText="1"/>
    </xf>
    <xf numFmtId="49" fontId="62" fillId="63" borderId="1" xfId="0" applyNumberFormat="1" applyFont="1" applyFill="1" applyBorder="1" applyAlignment="1">
      <alignment horizontal="left" vertical="center" wrapText="1"/>
    </xf>
    <xf numFmtId="0" fontId="26" fillId="63" borderId="1" xfId="0" applyFont="1" applyFill="1" applyBorder="1" applyAlignment="1">
      <alignment horizontal="left" vertical="center" wrapText="1"/>
    </xf>
    <xf numFmtId="0" fontId="62" fillId="63" borderId="11" xfId="0" applyNumberFormat="1" applyFont="1" applyFill="1" applyBorder="1" applyAlignment="1">
      <alignment horizontal="left" vertical="center"/>
    </xf>
    <xf numFmtId="0" fontId="64" fillId="63" borderId="0" xfId="0" applyFont="1" applyFill="1" applyAlignment="1">
      <alignment horizontal="center" vertical="center"/>
    </xf>
    <xf numFmtId="0" fontId="8" fillId="63" borderId="1" xfId="0" applyNumberFormat="1" applyFont="1" applyFill="1" applyBorder="1" applyAlignment="1">
      <alignment horizontal="left" vertical="center"/>
    </xf>
    <xf numFmtId="0" fontId="8" fillId="63" borderId="0" xfId="0" applyNumberFormat="1" applyFont="1" applyFill="1" applyBorder="1" applyAlignment="1">
      <alignment horizontal="left" vertical="center"/>
    </xf>
    <xf numFmtId="49" fontId="0" fillId="63" borderId="1" xfId="0" applyNumberFormat="1" applyFill="1" applyBorder="1" applyAlignment="1">
      <alignment vertical="center"/>
    </xf>
    <xf numFmtId="0" fontId="31" fillId="63" borderId="1" xfId="86" applyFont="1" applyFill="1" applyBorder="1" applyAlignment="1">
      <alignment horizontal="left" vertical="center"/>
    </xf>
    <xf numFmtId="0" fontId="27" fillId="63" borderId="0" xfId="0" applyFont="1" applyFill="1" applyBorder="1" applyAlignment="1">
      <alignment horizontal="left" vertical="center" wrapText="1"/>
    </xf>
    <xf numFmtId="49" fontId="24" fillId="63" borderId="1" xfId="0" applyNumberFormat="1" applyFont="1" applyFill="1" applyBorder="1" applyAlignment="1">
      <alignment vertical="center"/>
    </xf>
    <xf numFmtId="0" fontId="62" fillId="63" borderId="1" xfId="0" applyFont="1" applyFill="1" applyBorder="1" applyAlignment="1">
      <alignment horizontal="left" vertical="center" wrapText="1"/>
    </xf>
    <xf numFmtId="0" fontId="62" fillId="63" borderId="1" xfId="0" applyFont="1" applyFill="1" applyBorder="1" applyAlignment="1">
      <alignment horizontal="left" vertical="center"/>
    </xf>
    <xf numFmtId="0" fontId="33" fillId="63" borderId="1" xfId="0" applyFont="1" applyFill="1" applyBorder="1" applyAlignment="1">
      <alignment horizontal="left" vertical="center" wrapText="1"/>
    </xf>
    <xf numFmtId="0" fontId="40" fillId="63" borderId="16" xfId="0" applyNumberFormat="1" applyFont="1" applyFill="1" applyBorder="1" applyAlignment="1">
      <alignment horizontal="left" vertical="center"/>
    </xf>
    <xf numFmtId="0" fontId="65" fillId="63" borderId="16" xfId="0" applyNumberFormat="1" applyFont="1" applyFill="1" applyBorder="1" applyAlignment="1">
      <alignment horizontal="left" vertical="center"/>
    </xf>
    <xf numFmtId="49" fontId="62" fillId="63" borderId="1" xfId="0" applyNumberFormat="1" applyFont="1" applyFill="1" applyBorder="1" applyAlignment="1">
      <alignment horizontal="left" vertical="center"/>
    </xf>
    <xf numFmtId="0" fontId="63" fillId="63" borderId="1" xfId="0" applyFont="1" applyFill="1" applyBorder="1" applyAlignment="1">
      <alignment horizontal="left" vertical="center" wrapText="1"/>
    </xf>
    <xf numFmtId="0" fontId="31" fillId="63" borderId="1" xfId="0" applyNumberFormat="1" applyFont="1" applyFill="1" applyBorder="1" applyAlignment="1">
      <alignment horizontal="left" vertical="center"/>
    </xf>
    <xf numFmtId="0" fontId="62" fillId="63" borderId="1" xfId="0" applyNumberFormat="1" applyFont="1" applyFill="1" applyBorder="1" applyAlignment="1">
      <alignment horizontal="left" vertical="center"/>
    </xf>
    <xf numFmtId="0" fontId="80" fillId="63" borderId="1" xfId="0" applyNumberFormat="1" applyFont="1" applyFill="1" applyBorder="1" applyAlignment="1">
      <alignment horizontal="left" vertical="center"/>
    </xf>
    <xf numFmtId="49" fontId="31" fillId="63" borderId="1" xfId="0" applyNumberFormat="1" applyFont="1" applyFill="1" applyBorder="1" applyAlignment="1">
      <alignment horizontal="left" vertical="center"/>
    </xf>
    <xf numFmtId="0" fontId="38" fillId="63" borderId="1" xfId="0" applyFont="1" applyFill="1" applyBorder="1">
      <alignment vertical="center"/>
    </xf>
    <xf numFmtId="0" fontId="33" fillId="63" borderId="0" xfId="0" applyFont="1" applyFill="1" applyBorder="1" applyAlignment="1">
      <alignment horizontal="left" vertical="center" wrapText="1"/>
    </xf>
    <xf numFmtId="49" fontId="35" fillId="63" borderId="1" xfId="0" applyNumberFormat="1" applyFont="1" applyFill="1" applyBorder="1" applyAlignment="1">
      <alignment horizontal="left" vertical="center" wrapText="1"/>
    </xf>
    <xf numFmtId="0" fontId="85" fillId="63" borderId="1" xfId="0" applyFont="1" applyFill="1" applyBorder="1" applyAlignment="1"/>
    <xf numFmtId="49" fontId="0" fillId="63" borderId="1" xfId="0" applyNumberFormat="1" applyFill="1" applyBorder="1">
      <alignment vertical="center"/>
    </xf>
    <xf numFmtId="0" fontId="62" fillId="63" borderId="0" xfId="0" applyFont="1" applyFill="1" applyBorder="1" applyAlignment="1">
      <alignment horizontal="left" vertical="center" wrapText="1"/>
    </xf>
    <xf numFmtId="0" fontId="27" fillId="21" borderId="1" xfId="0" applyFont="1" applyFill="1" applyBorder="1" applyAlignment="1">
      <alignment horizontal="left" vertical="center" wrapText="1"/>
    </xf>
    <xf numFmtId="0" fontId="31" fillId="21" borderId="1" xfId="0" applyNumberFormat="1" applyFont="1" applyFill="1" applyBorder="1" applyAlignment="1">
      <alignment horizontal="left" vertical="center"/>
    </xf>
    <xf numFmtId="0" fontId="31" fillId="21" borderId="1" xfId="0" applyFont="1" applyFill="1" applyBorder="1" applyAlignment="1">
      <alignment horizontal="left" vertical="center" wrapText="1"/>
    </xf>
    <xf numFmtId="0" fontId="27" fillId="21" borderId="0" xfId="0" applyFont="1" applyFill="1" applyBorder="1" applyAlignment="1">
      <alignment horizontal="left" vertical="center" wrapText="1"/>
    </xf>
    <xf numFmtId="0" fontId="81" fillId="63" borderId="1" xfId="0" applyFont="1" applyFill="1" applyBorder="1" applyAlignment="1">
      <alignment horizontal="left" vertical="center"/>
    </xf>
    <xf numFmtId="0" fontId="62" fillId="63" borderId="1" xfId="86" applyFont="1" applyFill="1" applyBorder="1" applyAlignment="1">
      <alignment horizontal="left" vertical="center"/>
    </xf>
    <xf numFmtId="49" fontId="24" fillId="63" borderId="1" xfId="0" applyNumberFormat="1" applyFont="1" applyFill="1" applyBorder="1">
      <alignment vertical="center"/>
    </xf>
    <xf numFmtId="0" fontId="62" fillId="63" borderId="1" xfId="89" applyFont="1" applyFill="1" applyBorder="1" applyAlignment="1">
      <alignment horizontal="left" vertical="center"/>
    </xf>
    <xf numFmtId="49" fontId="31" fillId="21" borderId="1" xfId="0" applyNumberFormat="1" applyFont="1" applyFill="1" applyBorder="1" applyAlignment="1">
      <alignment horizontal="left" vertical="center" wrapText="1"/>
    </xf>
    <xf numFmtId="0" fontId="31" fillId="21" borderId="1" xfId="0" applyFont="1" applyFill="1" applyBorder="1" applyAlignment="1">
      <alignment horizontal="left" vertical="center"/>
    </xf>
    <xf numFmtId="49" fontId="31" fillId="21" borderId="1" xfId="0" applyNumberFormat="1" applyFont="1" applyFill="1" applyBorder="1" applyAlignment="1">
      <alignment horizontal="left" vertical="center"/>
    </xf>
    <xf numFmtId="0" fontId="26" fillId="21" borderId="1" xfId="0" applyFont="1" applyFill="1" applyBorder="1" applyAlignment="1">
      <alignment horizontal="left" vertical="center" wrapText="1"/>
    </xf>
    <xf numFmtId="0" fontId="38" fillId="21" borderId="1" xfId="0" applyFont="1" applyFill="1" applyBorder="1">
      <alignment vertical="center"/>
    </xf>
    <xf numFmtId="0" fontId="8" fillId="21" borderId="1" xfId="0" applyNumberFormat="1" applyFont="1" applyFill="1" applyBorder="1" applyAlignment="1">
      <alignment horizontal="left" vertical="center"/>
    </xf>
    <xf numFmtId="0" fontId="33" fillId="21" borderId="0" xfId="0" applyFont="1" applyFill="1" applyBorder="1" applyAlignment="1">
      <alignment horizontal="left" vertical="center" wrapText="1"/>
    </xf>
    <xf numFmtId="0" fontId="31" fillId="21" borderId="1" xfId="86" applyFont="1" applyFill="1" applyBorder="1" applyAlignment="1">
      <alignment horizontal="left" vertical="center"/>
    </xf>
    <xf numFmtId="49" fontId="62" fillId="62" borderId="1" xfId="0" applyNumberFormat="1" applyFont="1" applyFill="1" applyBorder="1" applyAlignment="1">
      <alignment horizontal="left" vertical="center" wrapText="1"/>
    </xf>
    <xf numFmtId="0" fontId="27" fillId="62" borderId="0" xfId="0" applyFont="1" applyFill="1" applyBorder="1" applyAlignment="1">
      <alignment horizontal="left" vertical="center" wrapText="1"/>
    </xf>
    <xf numFmtId="0" fontId="62" fillId="62" borderId="1" xfId="0" applyFont="1" applyFill="1" applyBorder="1" applyAlignment="1">
      <alignment horizontal="left" vertical="center" wrapText="1"/>
    </xf>
    <xf numFmtId="0" fontId="62" fillId="62" borderId="1" xfId="0" applyFont="1" applyFill="1" applyBorder="1" applyAlignment="1">
      <alignment horizontal="left" vertical="center"/>
    </xf>
    <xf numFmtId="0" fontId="62" fillId="62" borderId="1" xfId="0" applyNumberFormat="1" applyFont="1" applyFill="1" applyBorder="1" applyAlignment="1">
      <alignment horizontal="left" vertical="center"/>
    </xf>
    <xf numFmtId="0" fontId="81" fillId="62" borderId="0" xfId="0" applyFont="1" applyFill="1">
      <alignment vertical="center"/>
    </xf>
    <xf numFmtId="0" fontId="0" fillId="62" borderId="1" xfId="0" applyFill="1" applyBorder="1" applyAlignment="1">
      <alignment vertical="center"/>
    </xf>
    <xf numFmtId="49" fontId="31" fillId="62" borderId="1" xfId="0" applyNumberFormat="1" applyFont="1" applyFill="1" applyBorder="1" applyAlignment="1">
      <alignment horizontal="left" vertical="center" wrapText="1"/>
    </xf>
    <xf numFmtId="49" fontId="31" fillId="62" borderId="11" xfId="0" applyNumberFormat="1" applyFont="1" applyFill="1" applyBorder="1" applyAlignment="1">
      <alignment horizontal="left" vertical="center" wrapText="1"/>
    </xf>
    <xf numFmtId="0" fontId="64" fillId="62" borderId="0" xfId="0" applyFont="1" applyFill="1" applyAlignment="1">
      <alignment horizontal="left" vertical="center"/>
    </xf>
    <xf numFmtId="0" fontId="31" fillId="62" borderId="11" xfId="86" applyFont="1" applyFill="1" applyBorder="1" applyAlignment="1">
      <alignment horizontal="left" vertical="center"/>
    </xf>
    <xf numFmtId="0" fontId="31" fillId="62" borderId="11" xfId="0" applyFont="1" applyFill="1" applyBorder="1" applyAlignment="1">
      <alignment horizontal="left" vertical="center" wrapText="1"/>
    </xf>
    <xf numFmtId="0" fontId="62" fillId="62" borderId="0" xfId="0" applyFont="1" applyFill="1" applyBorder="1" applyAlignment="1">
      <alignment horizontal="left" vertical="center" wrapText="1"/>
    </xf>
    <xf numFmtId="0" fontId="82" fillId="62" borderId="16" xfId="0" applyNumberFormat="1" applyFont="1" applyFill="1" applyBorder="1" applyAlignment="1">
      <alignment horizontal="left" vertical="center"/>
    </xf>
    <xf numFmtId="0" fontId="62" fillId="62" borderId="11" xfId="0" applyFont="1" applyFill="1" applyBorder="1" applyAlignment="1">
      <alignment horizontal="left" vertical="center" wrapText="1"/>
    </xf>
    <xf numFmtId="0" fontId="62" fillId="62" borderId="11" xfId="0" applyFont="1" applyFill="1" applyBorder="1" applyAlignment="1">
      <alignment horizontal="left" vertical="center"/>
    </xf>
    <xf numFmtId="49" fontId="62" fillId="62" borderId="11" xfId="0" applyNumberFormat="1" applyFont="1" applyFill="1" applyBorder="1" applyAlignment="1">
      <alignment horizontal="left" vertical="center" wrapText="1"/>
    </xf>
    <xf numFmtId="0" fontId="62" fillId="62" borderId="11" xfId="0" applyNumberFormat="1" applyFont="1" applyFill="1" applyBorder="1" applyAlignment="1">
      <alignment horizontal="left" vertical="center"/>
    </xf>
    <xf numFmtId="0" fontId="82" fillId="62" borderId="27" xfId="0" applyNumberFormat="1" applyFont="1" applyFill="1" applyBorder="1" applyAlignment="1">
      <alignment horizontal="left" vertical="center"/>
    </xf>
    <xf numFmtId="0" fontId="85" fillId="21" borderId="1" xfId="0" applyFont="1" applyFill="1" applyBorder="1" applyAlignment="1"/>
    <xf numFmtId="49" fontId="0" fillId="21" borderId="1" xfId="0" applyNumberFormat="1" applyFill="1" applyBorder="1">
      <alignment vertical="center"/>
    </xf>
    <xf numFmtId="49" fontId="0" fillId="21" borderId="1" xfId="0" applyNumberFormat="1" applyFill="1" applyBorder="1" applyAlignment="1">
      <alignment vertical="center"/>
    </xf>
    <xf numFmtId="49" fontId="24" fillId="21" borderId="1" xfId="0" applyNumberFormat="1" applyFont="1" applyFill="1" applyBorder="1" applyAlignment="1">
      <alignment vertical="center"/>
    </xf>
    <xf numFmtId="49" fontId="62" fillId="21" borderId="1" xfId="0" applyNumberFormat="1" applyFont="1" applyFill="1" applyBorder="1" applyAlignment="1">
      <alignment horizontal="left" vertical="center" wrapText="1"/>
    </xf>
    <xf numFmtId="0" fontId="62" fillId="21" borderId="1" xfId="0" applyFont="1" applyFill="1" applyBorder="1" applyAlignment="1">
      <alignment horizontal="left" vertical="center" wrapText="1"/>
    </xf>
    <xf numFmtId="49" fontId="62" fillId="21" borderId="1" xfId="0" applyNumberFormat="1" applyFont="1" applyFill="1" applyBorder="1" applyAlignment="1">
      <alignment horizontal="left" vertical="center"/>
    </xf>
    <xf numFmtId="0" fontId="63" fillId="21" borderId="1" xfId="0" applyFont="1" applyFill="1" applyBorder="1" applyAlignment="1">
      <alignment horizontal="left" vertical="center" wrapText="1"/>
    </xf>
    <xf numFmtId="0" fontId="62" fillId="21" borderId="1" xfId="0" applyNumberFormat="1" applyFont="1" applyFill="1" applyBorder="1" applyAlignment="1">
      <alignment horizontal="left" vertical="center"/>
    </xf>
    <xf numFmtId="0" fontId="82" fillId="21" borderId="1" xfId="0" applyNumberFormat="1" applyFont="1" applyFill="1" applyBorder="1" applyAlignment="1">
      <alignment horizontal="left" vertical="center"/>
    </xf>
    <xf numFmtId="0" fontId="62" fillId="21" borderId="1" xfId="0" applyFont="1" applyFill="1" applyBorder="1" applyAlignment="1">
      <alignment horizontal="left" vertical="center"/>
    </xf>
    <xf numFmtId="0" fontId="41" fillId="21" borderId="0" xfId="0" applyFont="1" applyFill="1" applyAlignment="1">
      <alignment vertical="center"/>
    </xf>
    <xf numFmtId="0" fontId="114" fillId="21" borderId="1" xfId="96" applyFont="1" applyFill="1" applyBorder="1" applyAlignment="1">
      <alignment horizontal="left" vertical="center"/>
    </xf>
    <xf numFmtId="0" fontId="62" fillId="21" borderId="11" xfId="0" applyNumberFormat="1" applyFont="1" applyFill="1" applyBorder="1" applyAlignment="1">
      <alignment horizontal="left" vertical="center"/>
    </xf>
    <xf numFmtId="0" fontId="33" fillId="21" borderId="1" xfId="0" applyFont="1" applyFill="1" applyBorder="1" applyAlignment="1">
      <alignment horizontal="left" vertical="center" wrapText="1"/>
    </xf>
    <xf numFmtId="0" fontId="40" fillId="21" borderId="16" xfId="0" applyNumberFormat="1" applyFont="1" applyFill="1" applyBorder="1" applyAlignment="1">
      <alignment horizontal="left" vertical="center"/>
    </xf>
    <xf numFmtId="0" fontId="65" fillId="21" borderId="16" xfId="0" applyNumberFormat="1" applyFont="1" applyFill="1" applyBorder="1" applyAlignment="1">
      <alignment horizontal="left" vertical="center"/>
    </xf>
    <xf numFmtId="49" fontId="115" fillId="21" borderId="1" xfId="242" applyNumberFormat="1" applyFont="1" applyFill="1" applyBorder="1" applyAlignment="1" applyProtection="1">
      <alignment horizontal="left" vertical="center" wrapText="1"/>
    </xf>
    <xf numFmtId="0" fontId="62" fillId="21" borderId="1" xfId="155" applyFont="1" applyFill="1" applyBorder="1" applyAlignment="1">
      <alignment horizontal="left" vertical="center"/>
    </xf>
    <xf numFmtId="0" fontId="81" fillId="21" borderId="1" xfId="155" applyFont="1" applyFill="1" applyBorder="1" applyAlignment="1">
      <alignment horizontal="left" vertical="center"/>
    </xf>
    <xf numFmtId="0" fontId="114" fillId="21" borderId="1" xfId="155" applyFont="1" applyFill="1" applyBorder="1" applyAlignment="1">
      <alignment horizontal="left" vertical="center"/>
    </xf>
    <xf numFmtId="0" fontId="82" fillId="21" borderId="1" xfId="155" applyNumberFormat="1" applyFont="1" applyFill="1" applyBorder="1" applyAlignment="1">
      <alignment horizontal="left" vertical="center"/>
    </xf>
    <xf numFmtId="0" fontId="116" fillId="63" borderId="0" xfId="0" applyFont="1" applyFill="1" applyAlignment="1"/>
    <xf numFmtId="0" fontId="62" fillId="63" borderId="1" xfId="90" applyFont="1" applyFill="1" applyBorder="1" applyAlignment="1">
      <alignment horizontal="left" vertical="center"/>
    </xf>
    <xf numFmtId="0" fontId="82" fillId="63" borderId="1" xfId="0" applyNumberFormat="1" applyFont="1" applyFill="1" applyBorder="1" applyAlignment="1">
      <alignment horizontal="left" vertical="center"/>
    </xf>
    <xf numFmtId="0" fontId="41" fillId="63" borderId="0" xfId="0" applyFont="1" applyFill="1" applyAlignment="1">
      <alignment vertical="center"/>
    </xf>
    <xf numFmtId="0" fontId="114" fillId="63" borderId="1" xfId="96" applyFont="1" applyFill="1" applyBorder="1" applyAlignment="1">
      <alignment horizontal="left" vertical="center"/>
    </xf>
    <xf numFmtId="0" fontId="81" fillId="21" borderId="1" xfId="0" applyFont="1" applyFill="1" applyBorder="1" applyAlignment="1">
      <alignment horizontal="left" vertical="center"/>
    </xf>
    <xf numFmtId="0" fontId="80" fillId="21" borderId="1" xfId="0" applyNumberFormat="1" applyFont="1" applyFill="1" applyBorder="1" applyAlignment="1">
      <alignment horizontal="left" vertical="center"/>
    </xf>
    <xf numFmtId="0" fontId="62" fillId="21" borderId="1" xfId="86" applyFont="1" applyFill="1" applyBorder="1" applyAlignment="1">
      <alignment horizontal="left" vertical="center"/>
    </xf>
    <xf numFmtId="49" fontId="24" fillId="21" borderId="1" xfId="0" applyNumberFormat="1" applyFont="1" applyFill="1" applyBorder="1">
      <alignment vertical="center"/>
    </xf>
    <xf numFmtId="0" fontId="62" fillId="21" borderId="1" xfId="89" applyFont="1" applyFill="1" applyBorder="1" applyAlignment="1">
      <alignment horizontal="left" vertical="center"/>
    </xf>
    <xf numFmtId="0" fontId="35" fillId="21" borderId="1" xfId="0" applyNumberFormat="1" applyFont="1" applyFill="1" applyBorder="1" applyAlignment="1">
      <alignment horizontal="left" vertical="center"/>
    </xf>
    <xf numFmtId="0" fontId="64" fillId="21" borderId="0" xfId="0" applyFont="1" applyFill="1" applyAlignment="1">
      <alignment horizontal="center" vertical="center"/>
    </xf>
    <xf numFmtId="0" fontId="8" fillId="21" borderId="0" xfId="0" applyNumberFormat="1" applyFont="1" applyFill="1" applyBorder="1" applyAlignment="1">
      <alignment horizontal="left" vertical="center"/>
    </xf>
    <xf numFmtId="0" fontId="83" fillId="21" borderId="16" xfId="0" applyNumberFormat="1" applyFont="1" applyFill="1" applyBorder="1" applyAlignment="1">
      <alignment horizontal="left" vertical="center"/>
    </xf>
    <xf numFmtId="0" fontId="83" fillId="63" borderId="16" xfId="0" applyNumberFormat="1" applyFont="1" applyFill="1" applyBorder="1" applyAlignment="1">
      <alignment horizontal="left" vertical="center"/>
    </xf>
    <xf numFmtId="0" fontId="117" fillId="29" borderId="0" xfId="0" applyFont="1" applyFill="1" applyAlignment="1">
      <alignment horizontal="left" vertical="center"/>
    </xf>
    <xf numFmtId="49" fontId="116" fillId="29" borderId="1" xfId="0" applyNumberFormat="1" applyFont="1" applyFill="1" applyBorder="1" applyAlignment="1">
      <alignment vertical="center"/>
    </xf>
    <xf numFmtId="0" fontId="116" fillId="29" borderId="1" xfId="0" applyFont="1" applyFill="1" applyBorder="1" applyAlignment="1">
      <alignment vertical="center"/>
    </xf>
    <xf numFmtId="49" fontId="115" fillId="29" borderId="1" xfId="242" applyNumberFormat="1" applyFont="1" applyFill="1" applyBorder="1" applyAlignment="1" applyProtection="1">
      <alignment horizontal="left" vertical="center" wrapText="1"/>
    </xf>
    <xf numFmtId="0" fontId="82" fillId="29" borderId="1" xfId="0" applyNumberFormat="1" applyFont="1" applyFill="1" applyBorder="1" applyAlignment="1">
      <alignment horizontal="left" vertical="center"/>
    </xf>
    <xf numFmtId="0" fontId="62" fillId="29" borderId="1" xfId="155" applyFont="1" applyFill="1" applyBorder="1" applyAlignment="1">
      <alignment horizontal="left" vertical="center"/>
    </xf>
    <xf numFmtId="0" fontId="81" fillId="29" borderId="1" xfId="155" applyFont="1" applyFill="1" applyBorder="1" applyAlignment="1">
      <alignment horizontal="left" vertical="center"/>
    </xf>
    <xf numFmtId="0" fontId="114" fillId="29" borderId="1" xfId="155" applyFont="1" applyFill="1" applyBorder="1" applyAlignment="1">
      <alignment horizontal="left" vertical="center"/>
    </xf>
    <xf numFmtId="0" fontId="82" fillId="4" borderId="16" xfId="0" applyNumberFormat="1" applyFont="1" applyFill="1" applyBorder="1" applyAlignment="1">
      <alignment horizontal="left" vertical="center"/>
    </xf>
    <xf numFmtId="0" fontId="82" fillId="29" borderId="1" xfId="155" applyNumberFormat="1" applyFont="1" applyFill="1" applyBorder="1" applyAlignment="1">
      <alignment horizontal="left" vertical="center"/>
    </xf>
    <xf numFmtId="0" fontId="62" fillId="29" borderId="1" xfId="0" applyNumberFormat="1" applyFont="1" applyFill="1" applyBorder="1" applyAlignment="1">
      <alignment horizontal="left" vertical="center" wrapText="1"/>
    </xf>
    <xf numFmtId="49" fontId="114" fillId="68" borderId="1" xfId="233" applyNumberFormat="1" applyFont="1" applyFill="1" applyBorder="1">
      <alignment vertical="center"/>
    </xf>
    <xf numFmtId="0" fontId="62" fillId="68" borderId="1" xfId="0" applyFont="1" applyFill="1" applyBorder="1" applyAlignment="1">
      <alignment horizontal="left" vertical="center" wrapText="1"/>
    </xf>
    <xf numFmtId="0" fontId="62" fillId="68" borderId="1" xfId="0" applyFont="1" applyFill="1" applyBorder="1" applyAlignment="1">
      <alignment horizontal="left" vertical="center"/>
    </xf>
    <xf numFmtId="49" fontId="62" fillId="68" borderId="1" xfId="0" applyNumberFormat="1" applyFont="1" applyFill="1" applyBorder="1" applyAlignment="1">
      <alignment horizontal="left" vertical="center" wrapText="1"/>
    </xf>
    <xf numFmtId="49" fontId="62" fillId="68" borderId="1" xfId="0" applyNumberFormat="1" applyFont="1" applyFill="1" applyBorder="1" applyAlignment="1">
      <alignment horizontal="left" vertical="center"/>
    </xf>
    <xf numFmtId="0" fontId="63" fillId="68" borderId="1" xfId="0" applyFont="1" applyFill="1" applyBorder="1" applyAlignment="1">
      <alignment horizontal="left" vertical="center" wrapText="1"/>
    </xf>
    <xf numFmtId="0" fontId="62" fillId="68" borderId="1" xfId="0" applyNumberFormat="1" applyFont="1" applyFill="1" applyBorder="1" applyAlignment="1">
      <alignment horizontal="left" vertical="center"/>
    </xf>
    <xf numFmtId="0" fontId="80" fillId="68" borderId="1" xfId="0" applyNumberFormat="1" applyFont="1" applyFill="1" applyBorder="1" applyAlignment="1">
      <alignment horizontal="left" vertical="center"/>
    </xf>
    <xf numFmtId="0" fontId="80" fillId="68" borderId="0" xfId="0" applyNumberFormat="1" applyFont="1" applyFill="1" applyBorder="1" applyAlignment="1">
      <alignment horizontal="left" vertical="center"/>
    </xf>
    <xf numFmtId="0" fontId="41" fillId="68" borderId="0" xfId="0" applyFont="1" applyFill="1" applyAlignment="1">
      <alignment horizontal="left" vertical="center"/>
    </xf>
    <xf numFmtId="0" fontId="82" fillId="68" borderId="0" xfId="0" applyNumberFormat="1" applyFont="1" applyFill="1" applyBorder="1" applyAlignment="1">
      <alignment horizontal="left" vertical="center"/>
    </xf>
    <xf numFmtId="0" fontId="62" fillId="68" borderId="0" xfId="0" applyFont="1" applyFill="1" applyBorder="1" applyAlignment="1">
      <alignment horizontal="left" vertical="center" wrapText="1"/>
    </xf>
    <xf numFmtId="0" fontId="62" fillId="68" borderId="1" xfId="0" applyNumberFormat="1" applyFont="1" applyFill="1" applyBorder="1" applyAlignment="1">
      <alignment horizontal="left" vertical="center" wrapText="1"/>
    </xf>
    <xf numFmtId="49" fontId="115" fillId="68" borderId="1" xfId="242" applyNumberFormat="1" applyFont="1" applyFill="1" applyBorder="1" applyAlignment="1" applyProtection="1">
      <alignment horizontal="left" vertical="center" wrapText="1"/>
    </xf>
    <xf numFmtId="0" fontId="118" fillId="68" borderId="26" xfId="0" applyFont="1" applyFill="1" applyBorder="1" applyAlignment="1">
      <alignment horizontal="center" vertical="center"/>
    </xf>
    <xf numFmtId="0" fontId="82" fillId="68" borderId="1" xfId="0" applyNumberFormat="1" applyFont="1" applyFill="1" applyBorder="1" applyAlignment="1">
      <alignment horizontal="left" vertical="center"/>
    </xf>
    <xf numFmtId="0" fontId="62" fillId="68" borderId="1" xfId="155" applyFont="1" applyFill="1" applyBorder="1" applyAlignment="1">
      <alignment horizontal="left" vertical="center"/>
    </xf>
    <xf numFmtId="0" fontId="81" fillId="68" borderId="1" xfId="155" applyFont="1" applyFill="1" applyBorder="1" applyAlignment="1">
      <alignment horizontal="left" vertical="center"/>
    </xf>
    <xf numFmtId="0" fontId="114" fillId="68" borderId="1" xfId="155" applyFont="1" applyFill="1" applyBorder="1" applyAlignment="1">
      <alignment horizontal="left" vertical="center"/>
    </xf>
    <xf numFmtId="0" fontId="80" fillId="68" borderId="16" xfId="0" applyNumberFormat="1" applyFont="1" applyFill="1" applyBorder="1" applyAlignment="1">
      <alignment horizontal="left" vertical="center"/>
    </xf>
    <xf numFmtId="0" fontId="82" fillId="68" borderId="1" xfId="155" applyNumberFormat="1" applyFont="1" applyFill="1" applyBorder="1" applyAlignment="1">
      <alignment horizontal="left" vertical="center"/>
    </xf>
    <xf numFmtId="0" fontId="82" fillId="68" borderId="16" xfId="0" applyFont="1" applyFill="1" applyBorder="1" applyAlignment="1">
      <alignment horizontal="left" vertical="center"/>
    </xf>
    <xf numFmtId="0" fontId="116" fillId="68" borderId="0" xfId="0" applyFont="1" applyFill="1">
      <alignment vertical="center"/>
    </xf>
    <xf numFmtId="49" fontId="27" fillId="68" borderId="1" xfId="0" applyNumberFormat="1" applyFont="1" applyFill="1" applyBorder="1" applyAlignment="1">
      <alignment horizontal="left" vertical="center" wrapText="1"/>
    </xf>
    <xf numFmtId="0" fontId="27" fillId="68" borderId="1" xfId="0" applyFont="1" applyFill="1" applyBorder="1" applyAlignment="1">
      <alignment horizontal="left" vertical="center" wrapText="1"/>
    </xf>
    <xf numFmtId="0" fontId="27" fillId="68" borderId="1" xfId="0" applyFont="1" applyFill="1" applyBorder="1" applyAlignment="1">
      <alignment horizontal="left" vertical="center"/>
    </xf>
    <xf numFmtId="49" fontId="31" fillId="68" borderId="1" xfId="0" applyNumberFormat="1" applyFont="1" applyFill="1" applyBorder="1" applyAlignment="1">
      <alignment horizontal="left" vertical="center" wrapText="1"/>
    </xf>
    <xf numFmtId="0" fontId="26" fillId="68" borderId="1" xfId="0" applyFont="1" applyFill="1" applyBorder="1" applyAlignment="1">
      <alignment horizontal="left" vertical="center" wrapText="1"/>
    </xf>
    <xf numFmtId="0" fontId="31" fillId="68" borderId="1" xfId="0" applyNumberFormat="1" applyFont="1" applyFill="1" applyBorder="1" applyAlignment="1">
      <alignment horizontal="left" vertical="center"/>
    </xf>
    <xf numFmtId="0" fontId="31" fillId="68" borderId="1" xfId="0" applyFont="1" applyFill="1" applyBorder="1" applyAlignment="1">
      <alignment horizontal="left" vertical="center" wrapText="1"/>
    </xf>
    <xf numFmtId="0" fontId="27" fillId="68" borderId="0" xfId="0" applyFont="1" applyFill="1" applyBorder="1" applyAlignment="1">
      <alignment horizontal="left" vertical="center" wrapText="1"/>
    </xf>
    <xf numFmtId="0" fontId="27" fillId="68" borderId="1" xfId="0" applyNumberFormat="1" applyFont="1" applyFill="1" applyBorder="1" applyAlignment="1">
      <alignment horizontal="left" vertical="center" wrapText="1"/>
    </xf>
    <xf numFmtId="0" fontId="26" fillId="68" borderId="1" xfId="0" applyFont="1" applyFill="1" applyBorder="1" applyAlignment="1">
      <alignment horizontal="left" vertical="center"/>
    </xf>
    <xf numFmtId="0" fontId="31" fillId="68" borderId="0" xfId="0" applyFont="1" applyFill="1">
      <alignment vertical="center"/>
    </xf>
    <xf numFmtId="49" fontId="3" fillId="69" borderId="1" xfId="233" applyNumberFormat="1" applyFont="1" applyFill="1" applyBorder="1">
      <alignment vertical="center"/>
    </xf>
    <xf numFmtId="0" fontId="62" fillId="69" borderId="1" xfId="0" applyFont="1" applyFill="1" applyBorder="1" applyAlignment="1">
      <alignment horizontal="left" vertical="center" wrapText="1"/>
    </xf>
    <xf numFmtId="0" fontId="62" fillId="69" borderId="1" xfId="0" applyFont="1" applyFill="1" applyBorder="1" applyAlignment="1">
      <alignment horizontal="left" vertical="center"/>
    </xf>
    <xf numFmtId="49" fontId="62" fillId="69" borderId="1" xfId="0" applyNumberFormat="1" applyFont="1" applyFill="1" applyBorder="1" applyAlignment="1">
      <alignment horizontal="left" vertical="center" wrapText="1"/>
    </xf>
    <xf numFmtId="49" fontId="62" fillId="69" borderId="1" xfId="0" applyNumberFormat="1" applyFont="1" applyFill="1" applyBorder="1" applyAlignment="1">
      <alignment horizontal="left" vertical="center"/>
    </xf>
    <xf numFmtId="49" fontId="33" fillId="69" borderId="1" xfId="0" applyNumberFormat="1" applyFont="1" applyFill="1" applyBorder="1" applyAlignment="1">
      <alignment horizontal="left" vertical="center" wrapText="1"/>
    </xf>
    <xf numFmtId="0" fontId="63" fillId="69" borderId="1" xfId="0" applyFont="1" applyFill="1" applyBorder="1" applyAlignment="1">
      <alignment horizontal="left" vertical="center" wrapText="1"/>
    </xf>
    <xf numFmtId="0" fontId="31" fillId="69" borderId="1" xfId="0" applyNumberFormat="1" applyFont="1" applyFill="1" applyBorder="1" applyAlignment="1">
      <alignment horizontal="left" vertical="center"/>
    </xf>
    <xf numFmtId="0" fontId="62" fillId="69" borderId="1" xfId="0" applyNumberFormat="1" applyFont="1" applyFill="1" applyBorder="1" applyAlignment="1">
      <alignment horizontal="left" vertical="center"/>
    </xf>
    <xf numFmtId="0" fontId="80" fillId="69" borderId="1" xfId="0" applyNumberFormat="1" applyFont="1" applyFill="1" applyBorder="1" applyAlignment="1">
      <alignment horizontal="left" vertical="center"/>
    </xf>
    <xf numFmtId="0" fontId="80" fillId="69" borderId="0" xfId="0" applyNumberFormat="1" applyFont="1" applyFill="1" applyBorder="1" applyAlignment="1">
      <alignment horizontal="left" vertical="center"/>
    </xf>
    <xf numFmtId="0" fontId="64" fillId="69" borderId="0" xfId="0" applyFont="1" applyFill="1" applyAlignment="1">
      <alignment horizontal="left" vertical="center"/>
    </xf>
    <xf numFmtId="0" fontId="65" fillId="69" borderId="16" xfId="0" applyNumberFormat="1" applyFont="1" applyFill="1" applyBorder="1" applyAlignment="1">
      <alignment horizontal="left" vertical="center"/>
    </xf>
    <xf numFmtId="0" fontId="31" fillId="69" borderId="1" xfId="0" applyFont="1" applyFill="1" applyBorder="1" applyAlignment="1">
      <alignment horizontal="left" vertical="center" wrapText="1"/>
    </xf>
    <xf numFmtId="0" fontId="27" fillId="69" borderId="0" xfId="0" applyFont="1" applyFill="1" applyBorder="1" applyAlignment="1">
      <alignment horizontal="left" vertical="center" wrapText="1"/>
    </xf>
    <xf numFmtId="0" fontId="44" fillId="69" borderId="16" xfId="0" applyNumberFormat="1" applyFont="1" applyFill="1" applyBorder="1" applyAlignment="1">
      <alignment horizontal="left" vertical="center"/>
    </xf>
    <xf numFmtId="0" fontId="40" fillId="69" borderId="16" xfId="0" applyNumberFormat="1" applyFont="1" applyFill="1" applyBorder="1" applyAlignment="1">
      <alignment horizontal="left" vertical="center"/>
    </xf>
    <xf numFmtId="0" fontId="66" fillId="69" borderId="16" xfId="0" applyNumberFormat="1" applyFont="1" applyFill="1" applyBorder="1" applyAlignment="1">
      <alignment horizontal="left" vertical="center"/>
    </xf>
    <xf numFmtId="0" fontId="66" fillId="69" borderId="0" xfId="0" applyNumberFormat="1" applyFont="1" applyFill="1" applyBorder="1" applyAlignment="1">
      <alignment horizontal="left" vertical="center"/>
    </xf>
    <xf numFmtId="49" fontId="62" fillId="70" borderId="1" xfId="0" applyNumberFormat="1" applyFont="1" applyFill="1" applyBorder="1" applyAlignment="1">
      <alignment horizontal="left" vertical="center" wrapText="1"/>
    </xf>
    <xf numFmtId="0" fontId="62" fillId="70" borderId="1" xfId="0" applyFont="1" applyFill="1" applyBorder="1" applyAlignment="1">
      <alignment horizontal="left" vertical="center" wrapText="1"/>
    </xf>
    <xf numFmtId="49" fontId="115" fillId="70" borderId="1" xfId="242" applyNumberFormat="1" applyFont="1" applyFill="1" applyBorder="1" applyAlignment="1" applyProtection="1">
      <alignment horizontal="left" vertical="center" wrapText="1"/>
    </xf>
    <xf numFmtId="49" fontId="62" fillId="71" borderId="1" xfId="0" applyNumberFormat="1" applyFont="1" applyFill="1" applyBorder="1" applyAlignment="1">
      <alignment horizontal="left" vertical="center" wrapText="1"/>
    </xf>
    <xf numFmtId="0" fontId="0" fillId="0" borderId="15" xfId="0" applyBorder="1" applyAlignment="1">
      <alignment horizontal="center" vertical="top" wrapText="1"/>
    </xf>
    <xf numFmtId="0" fontId="27" fillId="0" borderId="11" xfId="0" applyFont="1" applyBorder="1" applyAlignment="1">
      <alignment horizontal="left" vertical="center"/>
    </xf>
    <xf numFmtId="0" fontId="27" fillId="0" borderId="12" xfId="0" applyFont="1" applyBorder="1" applyAlignment="1">
      <alignment horizontal="left" vertical="center"/>
    </xf>
    <xf numFmtId="0" fontId="27" fillId="0" borderId="13" xfId="0" applyFont="1" applyBorder="1" applyAlignment="1">
      <alignment horizontal="left" vertical="center"/>
    </xf>
    <xf numFmtId="0" fontId="0" fillId="0" borderId="0" xfId="0" applyAlignment="1">
      <alignment horizontal="center" vertical="center" wrapText="1"/>
    </xf>
  </cellXfs>
  <cellStyles count="749">
    <cellStyle name="20% - 强调文字颜色 1" xfId="4"/>
    <cellStyle name="20% - 强调文字颜色 1 2" xfId="47"/>
    <cellStyle name="20% - 强调文字颜色 1 2 2" xfId="100"/>
    <cellStyle name="20% - 强调文字颜色 1 2 3" xfId="367"/>
    <cellStyle name="20% - 强调文字颜色 1 2 3 2" xfId="455"/>
    <cellStyle name="20% - 强调文字颜色 1 2 3 3" xfId="719"/>
    <cellStyle name="20% - 强调文字颜色 1 2 4" xfId="388"/>
    <cellStyle name="20% - 强调文字颜色 1 2 4 2" xfId="468"/>
    <cellStyle name="20% - 强调文字颜色 1 2 4 3" xfId="733"/>
    <cellStyle name="20% - 强调文字颜色 1 2 5" xfId="427"/>
    <cellStyle name="20% - 强调文字颜色 1 2 5 2" xfId="656"/>
    <cellStyle name="20% - 强调文字颜色 1 2 6" xfId="516"/>
    <cellStyle name="20% - 强调文字颜色 1 2 7" xfId="289"/>
    <cellStyle name="20% - 强调文字颜色 1 3" xfId="173"/>
    <cellStyle name="20% - 强调文字颜色 1 3 2" xfId="669"/>
    <cellStyle name="20% - 强调文字颜色 1 3 3" xfId="575"/>
    <cellStyle name="20% - 强调文字颜色 1 3 4" xfId="303"/>
    <cellStyle name="20% - 强调文字颜色 1 4" xfId="302"/>
    <cellStyle name="20% - 强调文字颜色 1 5" xfId="351"/>
    <cellStyle name="20% - 强调文字颜色 1 5 2" xfId="439"/>
    <cellStyle name="20% - 强调文字颜色 1 5 3" xfId="703"/>
    <cellStyle name="20% - 强调文字颜色 1 6" xfId="411"/>
    <cellStyle name="20% - 强调文字颜色 1 6 2" xfId="628"/>
    <cellStyle name="20% - 强调文字颜色 1 7" xfId="486"/>
    <cellStyle name="20% - 强调文字颜色 1 8" xfId="261"/>
    <cellStyle name="20% - 强调文字颜色 2" xfId="3"/>
    <cellStyle name="20% - 强调文字颜色 2 2" xfId="46"/>
    <cellStyle name="20% - 强调文字颜色 2 2 2" xfId="101"/>
    <cellStyle name="20% - 强调文字颜色 2 2 3" xfId="369"/>
    <cellStyle name="20% - 强调文字颜色 2 2 3 2" xfId="457"/>
    <cellStyle name="20% - 强调文字颜色 2 2 3 3" xfId="721"/>
    <cellStyle name="20% - 强调文字颜色 2 2 4" xfId="389"/>
    <cellStyle name="20% - 强调文字颜色 2 2 4 2" xfId="469"/>
    <cellStyle name="20% - 强调文字颜色 2 2 4 3" xfId="734"/>
    <cellStyle name="20% - 强调文字颜色 2 2 5" xfId="429"/>
    <cellStyle name="20% - 强调文字颜色 2 2 5 2" xfId="658"/>
    <cellStyle name="20% - 强调文字颜色 2 2 6" xfId="515"/>
    <cellStyle name="20% - 强调文字颜色 2 2 7" xfId="291"/>
    <cellStyle name="20% - 强调文字颜色 2 3" xfId="172"/>
    <cellStyle name="20% - 强调文字颜色 2 3 2" xfId="670"/>
    <cellStyle name="20% - 强调文字颜色 2 3 3" xfId="574"/>
    <cellStyle name="20% - 强调文字颜色 2 3 4" xfId="305"/>
    <cellStyle name="20% - 强调文字颜色 2 4" xfId="304"/>
    <cellStyle name="20% - 强调文字颜色 2 5" xfId="353"/>
    <cellStyle name="20% - 强调文字颜色 2 5 2" xfId="441"/>
    <cellStyle name="20% - 强调文字颜色 2 5 3" xfId="705"/>
    <cellStyle name="20% - 强调文字颜色 2 6" xfId="413"/>
    <cellStyle name="20% - 强调文字颜色 2 6 2" xfId="632"/>
    <cellStyle name="20% - 强调文字颜色 2 7" xfId="485"/>
    <cellStyle name="20% - 强调文字颜色 2 8" xfId="265"/>
    <cellStyle name="20% - 强调文字颜色 3" xfId="5"/>
    <cellStyle name="20% - 强调文字颜色 3 2" xfId="48"/>
    <cellStyle name="20% - 强调文字颜色 3 2 2" xfId="102"/>
    <cellStyle name="20% - 强调文字颜色 3 2 3" xfId="371"/>
    <cellStyle name="20% - 强调文字颜色 3 2 3 2" xfId="459"/>
    <cellStyle name="20% - 强调文字颜色 3 2 3 3" xfId="723"/>
    <cellStyle name="20% - 强调文字颜色 3 2 4" xfId="390"/>
    <cellStyle name="20% - 强调文字颜色 3 2 4 2" xfId="470"/>
    <cellStyle name="20% - 强调文字颜色 3 2 4 3" xfId="735"/>
    <cellStyle name="20% - 强调文字颜色 3 2 5" xfId="431"/>
    <cellStyle name="20% - 强调文字颜色 3 2 5 2" xfId="660"/>
    <cellStyle name="20% - 强调文字颜色 3 2 6" xfId="517"/>
    <cellStyle name="20% - 强调文字颜色 3 2 7" xfId="293"/>
    <cellStyle name="20% - 强调文字颜色 3 3" xfId="174"/>
    <cellStyle name="20% - 强调文字颜色 3 3 2" xfId="671"/>
    <cellStyle name="20% - 强调文字颜色 3 3 3" xfId="576"/>
    <cellStyle name="20% - 强调文字颜色 3 3 4" xfId="307"/>
    <cellStyle name="20% - 强调文字颜色 3 4" xfId="306"/>
    <cellStyle name="20% - 强调文字颜色 3 5" xfId="355"/>
    <cellStyle name="20% - 强调文字颜色 3 5 2" xfId="443"/>
    <cellStyle name="20% - 强调文字颜色 3 5 3" xfId="707"/>
    <cellStyle name="20% - 强调文字颜色 3 6" xfId="415"/>
    <cellStyle name="20% - 强调文字颜色 3 6 2" xfId="636"/>
    <cellStyle name="20% - 强调文字颜色 3 7" xfId="487"/>
    <cellStyle name="20% - 强调文字颜色 3 8" xfId="269"/>
    <cellStyle name="20% - 强调文字颜色 4" xfId="7"/>
    <cellStyle name="20% - 强调文字颜色 4 2" xfId="50"/>
    <cellStyle name="20% - 强调文字颜色 4 2 2" xfId="103"/>
    <cellStyle name="20% - 强调文字颜色 4 2 3" xfId="373"/>
    <cellStyle name="20% - 强调文字颜色 4 2 3 2" xfId="461"/>
    <cellStyle name="20% - 强调文字颜色 4 2 3 3" xfId="725"/>
    <cellStyle name="20% - 强调文字颜色 4 2 4" xfId="391"/>
    <cellStyle name="20% - 强调文字颜色 4 2 4 2" xfId="471"/>
    <cellStyle name="20% - 强调文字颜色 4 2 4 3" xfId="736"/>
    <cellStyle name="20% - 强调文字颜色 4 2 5" xfId="433"/>
    <cellStyle name="20% - 强调文字颜色 4 2 5 2" xfId="662"/>
    <cellStyle name="20% - 强调文字颜色 4 2 6" xfId="519"/>
    <cellStyle name="20% - 强调文字颜色 4 2 7" xfId="295"/>
    <cellStyle name="20% - 强调文字颜色 4 3" xfId="176"/>
    <cellStyle name="20% - 强调文字颜色 4 3 2" xfId="672"/>
    <cellStyle name="20% - 强调文字颜色 4 3 3" xfId="577"/>
    <cellStyle name="20% - 强调文字颜色 4 3 4" xfId="309"/>
    <cellStyle name="20% - 强调文字颜色 4 4" xfId="308"/>
    <cellStyle name="20% - 强调文字颜色 4 5" xfId="357"/>
    <cellStyle name="20% - 强调文字颜色 4 5 2" xfId="445"/>
    <cellStyle name="20% - 强调文字颜色 4 5 3" xfId="709"/>
    <cellStyle name="20% - 强调文字颜色 4 6" xfId="417"/>
    <cellStyle name="20% - 强调文字颜色 4 6 2" xfId="640"/>
    <cellStyle name="20% - 强调文字颜色 4 7" xfId="488"/>
    <cellStyle name="20% - 强调文字颜色 4 8" xfId="273"/>
    <cellStyle name="20% - 强调文字颜色 5" xfId="8"/>
    <cellStyle name="20% - 强调文字颜色 5 2" xfId="51"/>
    <cellStyle name="20% - 强调文字颜色 5 2 2" xfId="104"/>
    <cellStyle name="20% - 强调文字颜色 5 2 3" xfId="375"/>
    <cellStyle name="20% - 强调文字颜色 5 2 3 2" xfId="463"/>
    <cellStyle name="20% - 强调文字颜色 5 2 3 3" xfId="727"/>
    <cellStyle name="20% - 强调文字颜色 5 2 4" xfId="392"/>
    <cellStyle name="20% - 强调文字颜色 5 2 4 2" xfId="472"/>
    <cellStyle name="20% - 强调文字颜色 5 2 4 3" xfId="737"/>
    <cellStyle name="20% - 强调文字颜色 5 2 5" xfId="435"/>
    <cellStyle name="20% - 强调文字颜色 5 2 5 2" xfId="664"/>
    <cellStyle name="20% - 强调文字颜色 5 2 6" xfId="520"/>
    <cellStyle name="20% - 强调文字颜色 5 2 7" xfId="297"/>
    <cellStyle name="20% - 强调文字颜色 5 3" xfId="177"/>
    <cellStyle name="20% - 强调文字颜色 5 3 2" xfId="673"/>
    <cellStyle name="20% - 强调文字颜色 5 3 3" xfId="578"/>
    <cellStyle name="20% - 强调文字颜色 5 3 4" xfId="311"/>
    <cellStyle name="20% - 强调文字颜色 5 4" xfId="310"/>
    <cellStyle name="20% - 强调文字颜色 5 5" xfId="359"/>
    <cellStyle name="20% - 强调文字颜色 5 5 2" xfId="447"/>
    <cellStyle name="20% - 强调文字颜色 5 5 3" xfId="711"/>
    <cellStyle name="20% - 强调文字颜色 5 6" xfId="419"/>
    <cellStyle name="20% - 强调文字颜色 5 6 2" xfId="644"/>
    <cellStyle name="20% - 强调文字颜色 5 7" xfId="489"/>
    <cellStyle name="20% - 强调文字颜色 5 8" xfId="277"/>
    <cellStyle name="20% - 强调文字颜色 6" xfId="10"/>
    <cellStyle name="20% - 强调文字颜色 6 2" xfId="53"/>
    <cellStyle name="20% - 强调文字颜色 6 2 2" xfId="105"/>
    <cellStyle name="20% - 强调文字颜色 6 2 3" xfId="377"/>
    <cellStyle name="20% - 强调文字颜色 6 2 3 2" xfId="465"/>
    <cellStyle name="20% - 强调文字颜色 6 2 3 3" xfId="729"/>
    <cellStyle name="20% - 强调文字颜色 6 2 4" xfId="393"/>
    <cellStyle name="20% - 强调文字颜色 6 2 4 2" xfId="473"/>
    <cellStyle name="20% - 强调文字颜色 6 2 4 3" xfId="738"/>
    <cellStyle name="20% - 强调文字颜色 6 2 5" xfId="437"/>
    <cellStyle name="20% - 强调文字颜色 6 2 5 2" xfId="666"/>
    <cellStyle name="20% - 强调文字颜色 6 2 6" xfId="522"/>
    <cellStyle name="20% - 强调文字颜色 6 2 7" xfId="299"/>
    <cellStyle name="20% - 强调文字颜色 6 3" xfId="179"/>
    <cellStyle name="20% - 强调文字颜色 6 3 2" xfId="674"/>
    <cellStyle name="20% - 强调文字颜色 6 3 3" xfId="579"/>
    <cellStyle name="20% - 强调文字颜色 6 3 4" xfId="313"/>
    <cellStyle name="20% - 强调文字颜色 6 4" xfId="312"/>
    <cellStyle name="20% - 强调文字颜色 6 5" xfId="361"/>
    <cellStyle name="20% - 强调文字颜色 6 5 2" xfId="449"/>
    <cellStyle name="20% - 强调文字颜色 6 5 3" xfId="713"/>
    <cellStyle name="20% - 强调文字颜色 6 6" xfId="421"/>
    <cellStyle name="20% - 强调文字颜色 6 6 2" xfId="648"/>
    <cellStyle name="20% - 强调文字颜色 6 7" xfId="490"/>
    <cellStyle name="20% - 强调文字颜色 6 8" xfId="281"/>
    <cellStyle name="40% - 强调文字颜色 1" xfId="13"/>
    <cellStyle name="40% - 强调文字颜色 1 2" xfId="56"/>
    <cellStyle name="40% - 强调文字颜色 1 2 2" xfId="106"/>
    <cellStyle name="40% - 强调文字颜色 1 2 3" xfId="368"/>
    <cellStyle name="40% - 强调文字颜色 1 2 3 2" xfId="456"/>
    <cellStyle name="40% - 强调文字颜色 1 2 3 3" xfId="720"/>
    <cellStyle name="40% - 强调文字颜色 1 2 4" xfId="394"/>
    <cellStyle name="40% - 强调文字颜色 1 2 4 2" xfId="474"/>
    <cellStyle name="40% - 强调文字颜色 1 2 4 3" xfId="739"/>
    <cellStyle name="40% - 强调文字颜色 1 2 5" xfId="428"/>
    <cellStyle name="40% - 强调文字颜色 1 2 5 2" xfId="657"/>
    <cellStyle name="40% - 强调文字颜色 1 2 6" xfId="525"/>
    <cellStyle name="40% - 强调文字颜色 1 2 7" xfId="290"/>
    <cellStyle name="40% - 强调文字颜色 1 3" xfId="182"/>
    <cellStyle name="40% - 强调文字颜色 1 3 2" xfId="675"/>
    <cellStyle name="40% - 强调文字颜色 1 3 3" xfId="581"/>
    <cellStyle name="40% - 强调文字颜色 1 3 4" xfId="315"/>
    <cellStyle name="40% - 强调文字颜色 1 4" xfId="314"/>
    <cellStyle name="40% - 强调文字颜色 1 5" xfId="352"/>
    <cellStyle name="40% - 强调文字颜色 1 5 2" xfId="440"/>
    <cellStyle name="40% - 强调文字颜色 1 5 3" xfId="704"/>
    <cellStyle name="40% - 强调文字颜色 1 6" xfId="412"/>
    <cellStyle name="40% - 强调文字颜色 1 6 2" xfId="629"/>
    <cellStyle name="40% - 强调文字颜色 1 7" xfId="262"/>
    <cellStyle name="40% - 强调文字颜色 2" xfId="14"/>
    <cellStyle name="40% - 强调文字颜色 2 2" xfId="57"/>
    <cellStyle name="40% - 强调文字颜色 2 2 2" xfId="107"/>
    <cellStyle name="40% - 强调文字颜色 2 2 3" xfId="370"/>
    <cellStyle name="40% - 强调文字颜色 2 2 3 2" xfId="458"/>
    <cellStyle name="40% - 强调文字颜色 2 2 3 3" xfId="722"/>
    <cellStyle name="40% - 强调文字颜色 2 2 4" xfId="395"/>
    <cellStyle name="40% - 强调文字颜色 2 2 4 2" xfId="475"/>
    <cellStyle name="40% - 强调文字颜色 2 2 4 3" xfId="740"/>
    <cellStyle name="40% - 强调文字颜色 2 2 5" xfId="430"/>
    <cellStyle name="40% - 强调文字颜色 2 2 5 2" xfId="659"/>
    <cellStyle name="40% - 强调文字颜色 2 2 6" xfId="526"/>
    <cellStyle name="40% - 强调文字颜色 2 2 7" xfId="292"/>
    <cellStyle name="40% - 强调文字颜色 2 3" xfId="183"/>
    <cellStyle name="40% - 强调文字颜色 2 3 2" xfId="676"/>
    <cellStyle name="40% - 强调文字颜色 2 3 3" xfId="582"/>
    <cellStyle name="40% - 强调文字颜色 2 3 4" xfId="317"/>
    <cellStyle name="40% - 强调文字颜色 2 4" xfId="316"/>
    <cellStyle name="40% - 强调文字颜色 2 5" xfId="354"/>
    <cellStyle name="40% - 强调文字颜色 2 5 2" xfId="442"/>
    <cellStyle name="40% - 强调文字颜色 2 5 3" xfId="706"/>
    <cellStyle name="40% - 强调文字颜色 2 6" xfId="414"/>
    <cellStyle name="40% - 强调文字颜色 2 6 2" xfId="633"/>
    <cellStyle name="40% - 强调文字颜色 2 7" xfId="492"/>
    <cellStyle name="40% - 强调文字颜色 2 8" xfId="266"/>
    <cellStyle name="40% - 强调文字颜色 3" xfId="15"/>
    <cellStyle name="40% - 强调文字颜色 3 2" xfId="58"/>
    <cellStyle name="40% - 强调文字颜色 3 2 2" xfId="108"/>
    <cellStyle name="40% - 强调文字颜色 3 2 3" xfId="372"/>
    <cellStyle name="40% - 强调文字颜色 3 2 3 2" xfId="460"/>
    <cellStyle name="40% - 强调文字颜色 3 2 3 3" xfId="724"/>
    <cellStyle name="40% - 强调文字颜色 3 2 4" xfId="396"/>
    <cellStyle name="40% - 强调文字颜色 3 2 4 2" xfId="476"/>
    <cellStyle name="40% - 强调文字颜色 3 2 4 3" xfId="741"/>
    <cellStyle name="40% - 强调文字颜色 3 2 5" xfId="432"/>
    <cellStyle name="40% - 强调文字颜色 3 2 5 2" xfId="661"/>
    <cellStyle name="40% - 强调文字颜色 3 2 6" xfId="527"/>
    <cellStyle name="40% - 强调文字颜色 3 2 7" xfId="294"/>
    <cellStyle name="40% - 强调文字颜色 3 3" xfId="184"/>
    <cellStyle name="40% - 强调文字颜色 3 3 2" xfId="677"/>
    <cellStyle name="40% - 强调文字颜色 3 3 3" xfId="583"/>
    <cellStyle name="40% - 强调文字颜色 3 3 4" xfId="319"/>
    <cellStyle name="40% - 强调文字颜色 3 4" xfId="318"/>
    <cellStyle name="40% - 强调文字颜色 3 5" xfId="356"/>
    <cellStyle name="40% - 强调文字颜色 3 5 2" xfId="444"/>
    <cellStyle name="40% - 强调文字颜色 3 5 3" xfId="708"/>
    <cellStyle name="40% - 强调文字颜色 3 6" xfId="416"/>
    <cellStyle name="40% - 强调文字颜色 3 6 2" xfId="637"/>
    <cellStyle name="40% - 强调文字颜色 3 7" xfId="493"/>
    <cellStyle name="40% - 强调文字颜色 3 8" xfId="270"/>
    <cellStyle name="40% - 强调文字颜色 4" xfId="17"/>
    <cellStyle name="40% - 强调文字颜色 4 2" xfId="60"/>
    <cellStyle name="40% - 强调文字颜色 4 2 2" xfId="109"/>
    <cellStyle name="40% - 强调文字颜色 4 2 3" xfId="374"/>
    <cellStyle name="40% - 强调文字颜色 4 2 3 2" xfId="462"/>
    <cellStyle name="40% - 强调文字颜色 4 2 3 3" xfId="726"/>
    <cellStyle name="40% - 强调文字颜色 4 2 4" xfId="397"/>
    <cellStyle name="40% - 强调文字颜色 4 2 4 2" xfId="477"/>
    <cellStyle name="40% - 强调文字颜色 4 2 4 3" xfId="742"/>
    <cellStyle name="40% - 强调文字颜色 4 2 5" xfId="434"/>
    <cellStyle name="40% - 强调文字颜色 4 2 5 2" xfId="663"/>
    <cellStyle name="40% - 强调文字颜色 4 2 6" xfId="529"/>
    <cellStyle name="40% - 强调文字颜色 4 2 7" xfId="296"/>
    <cellStyle name="40% - 强调文字颜色 4 3" xfId="186"/>
    <cellStyle name="40% - 强调文字颜色 4 3 2" xfId="678"/>
    <cellStyle name="40% - 强调文字颜色 4 3 3" xfId="585"/>
    <cellStyle name="40% - 强调文字颜色 4 3 4" xfId="321"/>
    <cellStyle name="40% - 强调文字颜色 4 4" xfId="320"/>
    <cellStyle name="40% - 强调文字颜色 4 5" xfId="358"/>
    <cellStyle name="40% - 强调文字颜色 4 5 2" xfId="446"/>
    <cellStyle name="40% - 强调文字颜色 4 5 3" xfId="710"/>
    <cellStyle name="40% - 强调文字颜色 4 6" xfId="418"/>
    <cellStyle name="40% - 强调文字颜色 4 6 2" xfId="641"/>
    <cellStyle name="40% - 强调文字颜色 4 7" xfId="495"/>
    <cellStyle name="40% - 强调文字颜色 4 8" xfId="274"/>
    <cellStyle name="40% - 强调文字颜色 5" xfId="18"/>
    <cellStyle name="40% - 强调文字颜色 5 2" xfId="61"/>
    <cellStyle name="40% - 强调文字颜色 5 2 2" xfId="110"/>
    <cellStyle name="40% - 强调文字颜色 5 2 3" xfId="376"/>
    <cellStyle name="40% - 强调文字颜色 5 2 3 2" xfId="464"/>
    <cellStyle name="40% - 强调文字颜色 5 2 3 3" xfId="728"/>
    <cellStyle name="40% - 强调文字颜色 5 2 4" xfId="398"/>
    <cellStyle name="40% - 强调文字颜色 5 2 4 2" xfId="478"/>
    <cellStyle name="40% - 强调文字颜色 5 2 4 3" xfId="743"/>
    <cellStyle name="40% - 强调文字颜色 5 2 5" xfId="436"/>
    <cellStyle name="40% - 强调文字颜色 5 2 5 2" xfId="665"/>
    <cellStyle name="40% - 强调文字颜色 5 2 6" xfId="530"/>
    <cellStyle name="40% - 强调文字颜色 5 2 7" xfId="298"/>
    <cellStyle name="40% - 强调文字颜色 5 3" xfId="187"/>
    <cellStyle name="40% - 强调文字颜色 5 3 2" xfId="679"/>
    <cellStyle name="40% - 强调文字颜色 5 3 3" xfId="586"/>
    <cellStyle name="40% - 强调文字颜色 5 3 4" xfId="323"/>
    <cellStyle name="40% - 强调文字颜色 5 4" xfId="322"/>
    <cellStyle name="40% - 强调文字颜色 5 5" xfId="360"/>
    <cellStyle name="40% - 强调文字颜色 5 5 2" xfId="448"/>
    <cellStyle name="40% - 强调文字颜色 5 5 3" xfId="712"/>
    <cellStyle name="40% - 强调文字颜色 5 6" xfId="420"/>
    <cellStyle name="40% - 强调文字颜色 5 6 2" xfId="645"/>
    <cellStyle name="40% - 强调文字颜色 5 7" xfId="278"/>
    <cellStyle name="40% - 强调文字颜色 6" xfId="19"/>
    <cellStyle name="40% - 强调文字颜色 6 2" xfId="62"/>
    <cellStyle name="40% - 强调文字颜色 6 2 2" xfId="111"/>
    <cellStyle name="40% - 强调文字颜色 6 2 3" xfId="378"/>
    <cellStyle name="40% - 强调文字颜色 6 2 3 2" xfId="466"/>
    <cellStyle name="40% - 强调文字颜色 6 2 3 3" xfId="730"/>
    <cellStyle name="40% - 强调文字颜色 6 2 4" xfId="399"/>
    <cellStyle name="40% - 强调文字颜色 6 2 4 2" xfId="479"/>
    <cellStyle name="40% - 强调文字颜色 6 2 4 3" xfId="744"/>
    <cellStyle name="40% - 强调文字颜色 6 2 5" xfId="438"/>
    <cellStyle name="40% - 强调文字颜色 6 2 5 2" xfId="667"/>
    <cellStyle name="40% - 强调文字颜色 6 2 6" xfId="531"/>
    <cellStyle name="40% - 强调文字颜色 6 2 7" xfId="300"/>
    <cellStyle name="40% - 强调文字颜色 6 3" xfId="188"/>
    <cellStyle name="40% - 强调文字颜色 6 3 2" xfId="680"/>
    <cellStyle name="40% - 强调文字颜色 6 3 3" xfId="587"/>
    <cellStyle name="40% - 强调文字颜色 6 3 4" xfId="325"/>
    <cellStyle name="40% - 强调文字颜色 6 4" xfId="324"/>
    <cellStyle name="40% - 强调文字颜色 6 5" xfId="362"/>
    <cellStyle name="40% - 强调文字颜色 6 5 2" xfId="450"/>
    <cellStyle name="40% - 强调文字颜色 6 5 3" xfId="714"/>
    <cellStyle name="40% - 强调文字颜色 6 6" xfId="422"/>
    <cellStyle name="40% - 强调文字颜色 6 6 2" xfId="649"/>
    <cellStyle name="40% - 强调文字颜色 6 7" xfId="496"/>
    <cellStyle name="40% - 强调文字颜色 6 8" xfId="282"/>
    <cellStyle name="60% - 强调文字颜色 1" xfId="20"/>
    <cellStyle name="60% - 强调文字颜色 1 2" xfId="63"/>
    <cellStyle name="60% - 强调文字颜色 1 2 2" xfId="112"/>
    <cellStyle name="60% - 强调文字颜色 1 2 3" xfId="532"/>
    <cellStyle name="60% - 强调文字颜色 1 3" xfId="189"/>
    <cellStyle name="60% - 强调文字颜色 1 4" xfId="630"/>
    <cellStyle name="60% - 强调文字颜色 1 5" xfId="263"/>
    <cellStyle name="60% - 强调文字颜色 2" xfId="22"/>
    <cellStyle name="60% - 强调文字颜色 2 2" xfId="65"/>
    <cellStyle name="60% - 强调文字颜色 2 2 2" xfId="113"/>
    <cellStyle name="60% - 强调文字颜色 2 2 3" xfId="534"/>
    <cellStyle name="60% - 强调文字颜色 2 3" xfId="191"/>
    <cellStyle name="60% - 强调文字颜色 2 3 2" xfId="681"/>
    <cellStyle name="60% - 强调文字颜色 2 3 3" xfId="589"/>
    <cellStyle name="60% - 强调文字颜色 2 3 4" xfId="326"/>
    <cellStyle name="60% - 强调文字颜色 2 4" xfId="634"/>
    <cellStyle name="60% - 强调文字颜色 2 5" xfId="498"/>
    <cellStyle name="60% - 强调文字颜色 2 6" xfId="267"/>
    <cellStyle name="60% - 强调文字颜色 3" xfId="25"/>
    <cellStyle name="60% - 强调文字颜色 3 2" xfId="68"/>
    <cellStyle name="60% - 强调文字颜色 3 2 2" xfId="114"/>
    <cellStyle name="60% - 强调文字颜色 3 2 3" xfId="537"/>
    <cellStyle name="60% - 强调文字颜色 3 3" xfId="194"/>
    <cellStyle name="60% - 强调文字颜色 3 3 2" xfId="682"/>
    <cellStyle name="60% - 强调文字颜色 3 3 3" xfId="591"/>
    <cellStyle name="60% - 强调文字颜色 3 3 4" xfId="327"/>
    <cellStyle name="60% - 强调文字颜色 3 4" xfId="638"/>
    <cellStyle name="60% - 强调文字颜色 3 5" xfId="500"/>
    <cellStyle name="60% - 强调文字颜色 3 6" xfId="271"/>
    <cellStyle name="60% - 强调文字颜色 4" xfId="26"/>
    <cellStyle name="60% - 强调文字颜色 4 2" xfId="69"/>
    <cellStyle name="60% - 强调文字颜色 4 2 2" xfId="115"/>
    <cellStyle name="60% - 强调文字颜色 4 2 3" xfId="538"/>
    <cellStyle name="60% - 强调文字颜色 4 3" xfId="195"/>
    <cellStyle name="60% - 强调文字颜色 4 3 2" xfId="683"/>
    <cellStyle name="60% - 强调文字颜色 4 3 3" xfId="592"/>
    <cellStyle name="60% - 强调文字颜色 4 3 4" xfId="328"/>
    <cellStyle name="60% - 强调文字颜色 4 4" xfId="642"/>
    <cellStyle name="60% - 强调文字颜色 4 5" xfId="501"/>
    <cellStyle name="60% - 强调文字颜色 4 6" xfId="275"/>
    <cellStyle name="60% - 强调文字颜色 5" xfId="28"/>
    <cellStyle name="60% - 强调文字颜色 5 2" xfId="71"/>
    <cellStyle name="60% - 强调文字颜色 5 2 2" xfId="116"/>
    <cellStyle name="60% - 强调文字颜色 5 2 3" xfId="540"/>
    <cellStyle name="60% - 强调文字颜色 5 3" xfId="197"/>
    <cellStyle name="60% - 强调文字颜色 5 3 2" xfId="684"/>
    <cellStyle name="60% - 强调文字颜色 5 3 3" xfId="594"/>
    <cellStyle name="60% - 强调文字颜色 5 3 4" xfId="329"/>
    <cellStyle name="60% - 强调文字颜色 5 4" xfId="646"/>
    <cellStyle name="60% - 强调文字颜色 5 5" xfId="503"/>
    <cellStyle name="60% - 强调文字颜色 5 6" xfId="279"/>
    <cellStyle name="60% - 强调文字颜色 6" xfId="29"/>
    <cellStyle name="60% - 强调文字颜色 6 2" xfId="72"/>
    <cellStyle name="60% - 强调文字颜色 6 2 2" xfId="117"/>
    <cellStyle name="60% - 强调文字颜色 6 2 3" xfId="541"/>
    <cellStyle name="60% - 强调文字颜色 6 3" xfId="198"/>
    <cellStyle name="60% - 强调文字颜色 6 3 2" xfId="685"/>
    <cellStyle name="60% - 强调文字颜色 6 3 3" xfId="595"/>
    <cellStyle name="60% - 强调文字颜色 6 3 4" xfId="330"/>
    <cellStyle name="60% - 强调文字颜色 6 4" xfId="650"/>
    <cellStyle name="60% - 强调文字颜色 6 5" xfId="504"/>
    <cellStyle name="60% - 强调文字颜色 6 6" xfId="283"/>
    <cellStyle name="百分比 2" xfId="748"/>
    <cellStyle name="百分比 3" xfId="243"/>
    <cellStyle name="标题" xfId="2"/>
    <cellStyle name="标题 1" xfId="30"/>
    <cellStyle name="标题 1 2" xfId="73"/>
    <cellStyle name="标题 1 2 2" xfId="119"/>
    <cellStyle name="标题 1 2 3" xfId="542"/>
    <cellStyle name="标题 1 3" xfId="199"/>
    <cellStyle name="标题 1 3 2" xfId="687"/>
    <cellStyle name="标题 1 3 3" xfId="596"/>
    <cellStyle name="标题 1 3 4" xfId="332"/>
    <cellStyle name="标题 1 4" xfId="612"/>
    <cellStyle name="标题 1 5" xfId="505"/>
    <cellStyle name="标题 1 6" xfId="245"/>
    <cellStyle name="标题 2" xfId="31"/>
    <cellStyle name="标题 2 2" xfId="74"/>
    <cellStyle name="标题 2 2 2" xfId="120"/>
    <cellStyle name="标题 2 2 3" xfId="543"/>
    <cellStyle name="标题 2 3" xfId="200"/>
    <cellStyle name="标题 2 3 2" xfId="688"/>
    <cellStyle name="标题 2 3 3" xfId="597"/>
    <cellStyle name="标题 2 3 4" xfId="333"/>
    <cellStyle name="标题 2 4" xfId="613"/>
    <cellStyle name="标题 2 5" xfId="506"/>
    <cellStyle name="标题 2 6" xfId="246"/>
    <cellStyle name="标题 3" xfId="21"/>
    <cellStyle name="标题 3 2" xfId="64"/>
    <cellStyle name="标题 3 2 2" xfId="121"/>
    <cellStyle name="标题 3 2 3" xfId="533"/>
    <cellStyle name="标题 3 3" xfId="190"/>
    <cellStyle name="标题 3 3 2" xfId="379"/>
    <cellStyle name="标题 3 3 3" xfId="689"/>
    <cellStyle name="标题 3 3 4" xfId="588"/>
    <cellStyle name="标题 3 3 5" xfId="334"/>
    <cellStyle name="标题 3 4" xfId="350"/>
    <cellStyle name="标题 3 5" xfId="614"/>
    <cellStyle name="标题 3 6" xfId="497"/>
    <cellStyle name="标题 3 7" xfId="247"/>
    <cellStyle name="标题 4" xfId="23"/>
    <cellStyle name="标题 4 2" xfId="66"/>
    <cellStyle name="标题 4 2 2" xfId="122"/>
    <cellStyle name="标题 4 2 3" xfId="535"/>
    <cellStyle name="标题 4 3" xfId="192"/>
    <cellStyle name="标题 4 3 2" xfId="690"/>
    <cellStyle name="标题 4 3 3" xfId="590"/>
    <cellStyle name="标题 4 3 4" xfId="335"/>
    <cellStyle name="标题 4 4" xfId="615"/>
    <cellStyle name="标题 4 5" xfId="499"/>
    <cellStyle name="标题 4 6" xfId="248"/>
    <cellStyle name="标题 5" xfId="45"/>
    <cellStyle name="标题 5 2" xfId="118"/>
    <cellStyle name="标题 5 3" xfId="514"/>
    <cellStyle name="标题 6" xfId="171"/>
    <cellStyle name="标题 6 2" xfId="686"/>
    <cellStyle name="标题 6 3" xfId="573"/>
    <cellStyle name="标题 6 4" xfId="331"/>
    <cellStyle name="标题 7" xfId="611"/>
    <cellStyle name="标题 8" xfId="484"/>
    <cellStyle name="标题 9" xfId="244"/>
    <cellStyle name="差" xfId="16"/>
    <cellStyle name="差 2" xfId="59"/>
    <cellStyle name="差 2 2" xfId="123"/>
    <cellStyle name="差 2 3" xfId="528"/>
    <cellStyle name="差 3" xfId="185"/>
    <cellStyle name="差 3 2" xfId="691"/>
    <cellStyle name="差 3 3" xfId="584"/>
    <cellStyle name="差 3 4" xfId="336"/>
    <cellStyle name="差 4" xfId="617"/>
    <cellStyle name="差 5" xfId="494"/>
    <cellStyle name="差 6" xfId="250"/>
    <cellStyle name="常规" xfId="0" builtinId="0"/>
    <cellStyle name="常规 10" xfId="91"/>
    <cellStyle name="常规 10 2" xfId="150"/>
    <cellStyle name="常规 10 2 2" xfId="233"/>
    <cellStyle name="常规 10 3" xfId="219"/>
    <cellStyle name="常规 10 4" xfId="565"/>
    <cellStyle name="常规 11" xfId="92"/>
    <cellStyle name="常规 11 2" xfId="151"/>
    <cellStyle name="常规 11 2 2" xfId="234"/>
    <cellStyle name="常规 11 3" xfId="220"/>
    <cellStyle name="常规 12" xfId="93"/>
    <cellStyle name="常规 12 2" xfId="152"/>
    <cellStyle name="常规 12 2 2" xfId="235"/>
    <cellStyle name="常规 12 3" xfId="221"/>
    <cellStyle name="常规 13" xfId="94"/>
    <cellStyle name="常规 13 2" xfId="153"/>
    <cellStyle name="常规 13 2 2" xfId="236"/>
    <cellStyle name="常规 13 3" xfId="222"/>
    <cellStyle name="常规 14" xfId="95"/>
    <cellStyle name="常规 14 2" xfId="154"/>
    <cellStyle name="常规 14 2 2" xfId="237"/>
    <cellStyle name="常规 14 3" xfId="223"/>
    <cellStyle name="常规 15" xfId="96"/>
    <cellStyle name="常规 15 2" xfId="155"/>
    <cellStyle name="常规 15 2 2" xfId="238"/>
    <cellStyle name="常规 15 3" xfId="224"/>
    <cellStyle name="常规 16" xfId="169"/>
    <cellStyle name="常规 17" xfId="241"/>
    <cellStyle name="常规 18" xfId="158"/>
    <cellStyle name="常规 2" xfId="43"/>
    <cellStyle name="常规 2 10" xfId="512"/>
    <cellStyle name="常规 2 11" xfId="286"/>
    <cellStyle name="常规 2 2" xfId="143"/>
    <cellStyle name="常规 2 2 2" xfId="228"/>
    <cellStyle name="常规 2 2 3" xfId="604"/>
    <cellStyle name="常规 2 2 4" xfId="692"/>
    <cellStyle name="常规 2 2 5" xfId="554"/>
    <cellStyle name="常规 2 2 6" xfId="337"/>
    <cellStyle name="常规 2 3" xfId="99"/>
    <cellStyle name="常规 2 3 2" xfId="227"/>
    <cellStyle name="常规 2 3 2 2" xfId="732"/>
    <cellStyle name="常规 2 3 3" xfId="167"/>
    <cellStyle name="常规 2 3 3 2" xfId="557"/>
    <cellStyle name="常规 2 3 4" xfId="386"/>
    <cellStyle name="常规 2 4" xfId="97"/>
    <cellStyle name="常规 2 4 2" xfId="156"/>
    <cellStyle name="常规 2 4 2 2" xfId="239"/>
    <cellStyle name="常规 2 4 2 2 2" xfId="608"/>
    <cellStyle name="常规 2 4 2 3" xfId="563"/>
    <cellStyle name="常规 2 4 3" xfId="225"/>
    <cellStyle name="常规 2 4 3 2" xfId="605"/>
    <cellStyle name="常规 2 4 4" xfId="555"/>
    <cellStyle name="常规 2 4 5" xfId="407"/>
    <cellStyle name="常规 2 5" xfId="212"/>
    <cellStyle name="常规 2 5 2" xfId="606"/>
    <cellStyle name="常规 2 5 3" xfId="560"/>
    <cellStyle name="常规 2 6" xfId="603"/>
    <cellStyle name="常规 2 7" xfId="570"/>
    <cellStyle name="常规 2 8" xfId="566"/>
    <cellStyle name="常规 2 9" xfId="653"/>
    <cellStyle name="常规 3" xfId="42"/>
    <cellStyle name="常规 3 2" xfId="124"/>
    <cellStyle name="常规 3 3" xfId="211"/>
    <cellStyle name="常规 3 3 2" xfId="451"/>
    <cellStyle name="常规 3 3 3" xfId="715"/>
    <cellStyle name="常规 3 3 4" xfId="363"/>
    <cellStyle name="常规 3 4" xfId="387"/>
    <cellStyle name="常规 3 5" xfId="423"/>
    <cellStyle name="常规 3 5 2" xfId="651"/>
    <cellStyle name="常规 3 6" xfId="284"/>
    <cellStyle name="常规 4" xfId="85"/>
    <cellStyle name="常规 4 2" xfId="98"/>
    <cellStyle name="常规 4 2 2" xfId="157"/>
    <cellStyle name="常规 4 2 2 2" xfId="240"/>
    <cellStyle name="常规 4 2 2 3" xfId="609"/>
    <cellStyle name="常规 4 2 3" xfId="226"/>
    <cellStyle name="常规 4 2 3 2" xfId="693"/>
    <cellStyle name="常规 4 2 4" xfId="564"/>
    <cellStyle name="常规 4 2 5" xfId="338"/>
    <cellStyle name="常规 4 3" xfId="144"/>
    <cellStyle name="常规 4 3 2" xfId="213"/>
    <cellStyle name="常规 4 3 2 2" xfId="607"/>
    <cellStyle name="常规 4 3 2 3" xfId="453"/>
    <cellStyle name="常规 4 3 3" xfId="717"/>
    <cellStyle name="常规 4 3 4" xfId="561"/>
    <cellStyle name="常规 4 3 5" xfId="365"/>
    <cellStyle name="常规 4 4" xfId="162"/>
    <cellStyle name="常规 4 4 2" xfId="480"/>
    <cellStyle name="常规 4 4 2 2" xfId="745"/>
    <cellStyle name="常规 4 4 3" xfId="567"/>
    <cellStyle name="常规 4 4 4" xfId="400"/>
    <cellStyle name="常规 4 5" xfId="408"/>
    <cellStyle name="常规 4 5 2" xfId="654"/>
    <cellStyle name="常规 4 6" xfId="425"/>
    <cellStyle name="常规 4 7" xfId="556"/>
    <cellStyle name="常规 4 8" xfId="287"/>
    <cellStyle name="常规 5" xfId="86"/>
    <cellStyle name="常规 5 2" xfId="125"/>
    <cellStyle name="常规 5 2 2" xfId="694"/>
    <cellStyle name="常规 5 3" xfId="145"/>
    <cellStyle name="常规 5 3 2" xfId="214"/>
    <cellStyle name="常规 5 3 3" xfId="558"/>
    <cellStyle name="常规 5 4" xfId="166"/>
    <cellStyle name="常规 5 5" xfId="339"/>
    <cellStyle name="常规 6" xfId="87"/>
    <cellStyle name="常规 6 2" xfId="146"/>
    <cellStyle name="常规 6 2 2" xfId="229"/>
    <cellStyle name="常规 6 2 2 2" xfId="668"/>
    <cellStyle name="常规 6 2 3" xfId="163"/>
    <cellStyle name="常规 6 3" xfId="215"/>
    <cellStyle name="常规 6 4" xfId="159"/>
    <cellStyle name="常规 6 5" xfId="301"/>
    <cellStyle name="常规 7" xfId="88"/>
    <cellStyle name="常规 7 2" xfId="147"/>
    <cellStyle name="常规 7 2 2" xfId="230"/>
    <cellStyle name="常规 7 2 2 2" xfId="731"/>
    <cellStyle name="常规 7 2 3" xfId="467"/>
    <cellStyle name="常规 7 3" xfId="216"/>
    <cellStyle name="常规 7 3 2" xfId="562"/>
    <cellStyle name="常规 7 4" xfId="385"/>
    <cellStyle name="常规 8" xfId="89"/>
    <cellStyle name="常规 8 2" xfId="148"/>
    <cellStyle name="常规 8 2 2" xfId="231"/>
    <cellStyle name="常规 8 2 3" xfId="610"/>
    <cellStyle name="常规 8 3" xfId="217"/>
    <cellStyle name="常规 8 3 2" xfId="571"/>
    <cellStyle name="常规 8 4" xfId="568"/>
    <cellStyle name="常规 8 5" xfId="409"/>
    <cellStyle name="常规 9" xfId="90"/>
    <cellStyle name="常规 9 2" xfId="149"/>
    <cellStyle name="常规 9 2 2" xfId="232"/>
    <cellStyle name="常规 9 2 3" xfId="164"/>
    <cellStyle name="常规 9 2 4" xfId="569"/>
    <cellStyle name="常规 9 3" xfId="218"/>
    <cellStyle name="常规 9 4" xfId="160"/>
    <cellStyle name="常规 9 5" xfId="406"/>
    <cellStyle name="超链接" xfId="242" builtinId="8"/>
    <cellStyle name="超链接 2" xfId="410"/>
    <cellStyle name="好" xfId="32"/>
    <cellStyle name="好 2" xfId="75"/>
    <cellStyle name="好 2 2" xfId="126"/>
    <cellStyle name="好 2 3" xfId="544"/>
    <cellStyle name="好 3" xfId="201"/>
    <cellStyle name="好 4" xfId="616"/>
    <cellStyle name="好 5" xfId="249"/>
    <cellStyle name="汇总" xfId="33"/>
    <cellStyle name="汇总 2" xfId="76"/>
    <cellStyle name="汇总 2 2" xfId="127"/>
    <cellStyle name="汇总 2 3" xfId="545"/>
    <cellStyle name="汇总 3" xfId="202"/>
    <cellStyle name="汇总 3 2" xfId="380"/>
    <cellStyle name="汇总 4" xfId="626"/>
    <cellStyle name="汇总 5" xfId="259"/>
    <cellStyle name="计算" xfId="34"/>
    <cellStyle name="计算 2" xfId="77"/>
    <cellStyle name="计算 2 2" xfId="128"/>
    <cellStyle name="计算 2 3" xfId="546"/>
    <cellStyle name="计算 3" xfId="203"/>
    <cellStyle name="计算 3 2" xfId="381"/>
    <cellStyle name="计算 3 3" xfId="695"/>
    <cellStyle name="计算 3 4" xfId="598"/>
    <cellStyle name="计算 3 5" xfId="340"/>
    <cellStyle name="计算 4" xfId="621"/>
    <cellStyle name="计算 5" xfId="507"/>
    <cellStyle name="计算 6" xfId="254"/>
    <cellStyle name="检查单元格" xfId="35"/>
    <cellStyle name="检查单元格 2" xfId="78"/>
    <cellStyle name="检查单元格 2 2" xfId="129"/>
    <cellStyle name="检查单元格 2 3" xfId="547"/>
    <cellStyle name="检查单元格 3" xfId="204"/>
    <cellStyle name="检查单元格 4" xfId="623"/>
    <cellStyle name="检查单元格 5" xfId="256"/>
    <cellStyle name="解释性文本" xfId="36"/>
    <cellStyle name="解释性文本 2" xfId="79"/>
    <cellStyle name="解释性文本 2 2" xfId="130"/>
    <cellStyle name="解释性文本 2 3" xfId="548"/>
    <cellStyle name="解释性文本 3" xfId="205"/>
    <cellStyle name="解释性文本 4" xfId="625"/>
    <cellStyle name="解释性文本 5" xfId="258"/>
    <cellStyle name="警告文本" xfId="24"/>
    <cellStyle name="警告文本 2" xfId="67"/>
    <cellStyle name="警告文本 2 2" xfId="131"/>
    <cellStyle name="警告文本 2 3" xfId="536"/>
    <cellStyle name="警告文本 3" xfId="193"/>
    <cellStyle name="警告文本 4" xfId="624"/>
    <cellStyle name="警告文本 5" xfId="257"/>
    <cellStyle name="链接单元格" xfId="11"/>
    <cellStyle name="链接单元格 2" xfId="54"/>
    <cellStyle name="链接单元格 2 2" xfId="132"/>
    <cellStyle name="链接单元格 2 3" xfId="523"/>
    <cellStyle name="链接单元格 3" xfId="180"/>
    <cellStyle name="链接单元格 4" xfId="622"/>
    <cellStyle name="链接单元格 5" xfId="255"/>
    <cellStyle name="强调文字颜色 1" xfId="9"/>
    <cellStyle name="强调文字颜色 1 2" xfId="52"/>
    <cellStyle name="强调文字颜色 1 2 2" xfId="133"/>
    <cellStyle name="强调文字颜色 1 2 3" xfId="521"/>
    <cellStyle name="强调文字颜色 1 3" xfId="178"/>
    <cellStyle name="强调文字颜色 1 4" xfId="627"/>
    <cellStyle name="强调文字颜色 1 5" xfId="260"/>
    <cellStyle name="强调文字颜色 2" xfId="12"/>
    <cellStyle name="强调文字颜色 2 2" xfId="55"/>
    <cellStyle name="强调文字颜色 2 2 2" xfId="134"/>
    <cellStyle name="强调文字颜色 2 2 3" xfId="524"/>
    <cellStyle name="强调文字颜色 2 3" xfId="181"/>
    <cellStyle name="强调文字颜色 2 3 2" xfId="696"/>
    <cellStyle name="强调文字颜色 2 3 3" xfId="580"/>
    <cellStyle name="强调文字颜色 2 3 4" xfId="341"/>
    <cellStyle name="强调文字颜色 2 4" xfId="631"/>
    <cellStyle name="强调文字颜色 2 5" xfId="491"/>
    <cellStyle name="强调文字颜色 2 6" xfId="264"/>
    <cellStyle name="强调文字颜色 3" xfId="37"/>
    <cellStyle name="强调文字颜色 3 2" xfId="80"/>
    <cellStyle name="强调文字颜色 3 2 2" xfId="135"/>
    <cellStyle name="强调文字颜色 3 2 3" xfId="549"/>
    <cellStyle name="强调文字颜色 3 3" xfId="206"/>
    <cellStyle name="强调文字颜色 3 3 2" xfId="697"/>
    <cellStyle name="强调文字颜色 3 3 3" xfId="599"/>
    <cellStyle name="强调文字颜色 3 3 4" xfId="342"/>
    <cellStyle name="强调文字颜色 3 4" xfId="635"/>
    <cellStyle name="强调文字颜色 3 5" xfId="508"/>
    <cellStyle name="强调文字颜色 3 6" xfId="268"/>
    <cellStyle name="强调文字颜色 4" xfId="1"/>
    <cellStyle name="强调文字颜色 4 2" xfId="44"/>
    <cellStyle name="强调文字颜色 4 2 2" xfId="136"/>
    <cellStyle name="强调文字颜色 4 2 3" xfId="513"/>
    <cellStyle name="强调文字颜色 4 3" xfId="170"/>
    <cellStyle name="强调文字颜色 4 3 2" xfId="698"/>
    <cellStyle name="强调文字颜色 4 3 3" xfId="572"/>
    <cellStyle name="强调文字颜色 4 3 4" xfId="343"/>
    <cellStyle name="强调文字颜色 4 4" xfId="639"/>
    <cellStyle name="强调文字颜色 4 5" xfId="483"/>
    <cellStyle name="强调文字颜色 4 6" xfId="272"/>
    <cellStyle name="强调文字颜色 5" xfId="38"/>
    <cellStyle name="强调文字颜色 5 2" xfId="81"/>
    <cellStyle name="强调文字颜色 5 2 2" xfId="137"/>
    <cellStyle name="强调文字颜色 5 2 3" xfId="550"/>
    <cellStyle name="强调文字颜色 5 3" xfId="207"/>
    <cellStyle name="强调文字颜色 5 3 2" xfId="699"/>
    <cellStyle name="强调文字颜色 5 3 3" xfId="600"/>
    <cellStyle name="强调文字颜色 5 3 4" xfId="344"/>
    <cellStyle name="强调文字颜色 5 4" xfId="643"/>
    <cellStyle name="强调文字颜色 5 5" xfId="509"/>
    <cellStyle name="强调文字颜色 5 6" xfId="276"/>
    <cellStyle name="强调文字颜色 6" xfId="39"/>
    <cellStyle name="强调文字颜色 6 2" xfId="82"/>
    <cellStyle name="强调文字颜色 6 2 2" xfId="138"/>
    <cellStyle name="强调文字颜色 6 2 3" xfId="551"/>
    <cellStyle name="强调文字颜色 6 3" xfId="208"/>
    <cellStyle name="强调文字颜色 6 3 2" xfId="700"/>
    <cellStyle name="强调文字颜色 6 3 3" xfId="601"/>
    <cellStyle name="强调文字颜色 6 3 4" xfId="345"/>
    <cellStyle name="强调文字颜色 6 4" xfId="647"/>
    <cellStyle name="强调文字颜色 6 5" xfId="510"/>
    <cellStyle name="强调文字颜色 6 6" xfId="280"/>
    <cellStyle name="适中" xfId="40"/>
    <cellStyle name="适中 2" xfId="83"/>
    <cellStyle name="适中 2 2" xfId="139"/>
    <cellStyle name="适中 2 3" xfId="552"/>
    <cellStyle name="适中 3" xfId="209"/>
    <cellStyle name="适中 4" xfId="618"/>
    <cellStyle name="适中 5" xfId="251"/>
    <cellStyle name="输出" xfId="27"/>
    <cellStyle name="输出 2" xfId="70"/>
    <cellStyle name="输出 2 2" xfId="140"/>
    <cellStyle name="输出 2 3" xfId="539"/>
    <cellStyle name="输出 3" xfId="196"/>
    <cellStyle name="输出 3 2" xfId="382"/>
    <cellStyle name="输出 3 3" xfId="401"/>
    <cellStyle name="输出 3 4" xfId="701"/>
    <cellStyle name="输出 3 5" xfId="593"/>
    <cellStyle name="输出 3 6" xfId="346"/>
    <cellStyle name="输出 4" xfId="620"/>
    <cellStyle name="输出 5" xfId="502"/>
    <cellStyle name="输出 6" xfId="253"/>
    <cellStyle name="输入" xfId="6"/>
    <cellStyle name="输入 2" xfId="49"/>
    <cellStyle name="输入 2 2" xfId="141"/>
    <cellStyle name="输入 2 3" xfId="518"/>
    <cellStyle name="输入 3" xfId="175"/>
    <cellStyle name="输入 3 2" xfId="383"/>
    <cellStyle name="输入 4" xfId="405"/>
    <cellStyle name="输入 5" xfId="619"/>
    <cellStyle name="输入 6" xfId="252"/>
    <cellStyle name="一般 2" xfId="161"/>
    <cellStyle name="一般 2 2" xfId="165"/>
    <cellStyle name="一般 2 3" xfId="168"/>
    <cellStyle name="注释" xfId="41"/>
    <cellStyle name="注释 2" xfId="84"/>
    <cellStyle name="注释 2 2" xfId="142"/>
    <cellStyle name="注释 2 2 2" xfId="702"/>
    <cellStyle name="注释 2 2 3" xfId="559"/>
    <cellStyle name="注释 2 2 4" xfId="348"/>
    <cellStyle name="注释 2 3" xfId="364"/>
    <cellStyle name="注释 2 3 2" xfId="452"/>
    <cellStyle name="注释 2 3 3" xfId="716"/>
    <cellStyle name="注释 2 4" xfId="402"/>
    <cellStyle name="注释 2 4 2" xfId="481"/>
    <cellStyle name="注释 2 4 3" xfId="746"/>
    <cellStyle name="注释 2 5" xfId="424"/>
    <cellStyle name="注释 2 5 2" xfId="652"/>
    <cellStyle name="注释 2 6" xfId="553"/>
    <cellStyle name="注释 2 7" xfId="285"/>
    <cellStyle name="注释 3" xfId="210"/>
    <cellStyle name="注释 3 2" xfId="349"/>
    <cellStyle name="注释 3 3" xfId="366"/>
    <cellStyle name="注释 3 3 2" xfId="454"/>
    <cellStyle name="注释 3 3 3" xfId="718"/>
    <cellStyle name="注释 3 4" xfId="403"/>
    <cellStyle name="注释 3 4 2" xfId="482"/>
    <cellStyle name="注释 3 4 3" xfId="747"/>
    <cellStyle name="注释 3 5" xfId="426"/>
    <cellStyle name="注释 3 5 2" xfId="655"/>
    <cellStyle name="注释 3 6" xfId="602"/>
    <cellStyle name="注释 3 7" xfId="288"/>
    <cellStyle name="注释 4" xfId="347"/>
    <cellStyle name="注释 4 2" xfId="384"/>
    <cellStyle name="注释 4 3" xfId="404"/>
    <cellStyle name="注释 5" xfId="51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1619250</xdr:colOff>
      <xdr:row>16</xdr:row>
      <xdr:rowOff>57150</xdr:rowOff>
    </xdr:from>
    <xdr:to>
      <xdr:col>8</xdr:col>
      <xdr:colOff>1924050</xdr:colOff>
      <xdr:row>47</xdr:row>
      <xdr:rowOff>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9820275" y="3362325"/>
          <a:ext cx="3276600" cy="5553075"/>
        </a:xfrm>
        <a:prstGeom prst="rect">
          <a:avLst/>
        </a:prstGeom>
        <a:noFill/>
        <a:ln w="1">
          <a:noFill/>
          <a:miter lim="800000"/>
          <a:headEnd/>
          <a:tailEnd type="none" w="med" len="med"/>
        </a:ln>
        <a:effectLst/>
      </xdr:spPr>
    </xdr:pic>
    <xdr:clientData/>
  </xdr:twoCellAnchor>
  <xdr:twoCellAnchor editAs="oneCell">
    <xdr:from>
      <xdr:col>8</xdr:col>
      <xdr:colOff>1924050</xdr:colOff>
      <xdr:row>0</xdr:row>
      <xdr:rowOff>0</xdr:rowOff>
    </xdr:from>
    <xdr:to>
      <xdr:col>17</xdr:col>
      <xdr:colOff>95250</xdr:colOff>
      <xdr:row>38</xdr:row>
      <xdr:rowOff>123825</xdr:rowOff>
    </xdr:to>
    <xdr:pic>
      <xdr:nvPicPr>
        <xdr:cNvPr id="2050"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13096875" y="0"/>
          <a:ext cx="5648325" cy="7410450"/>
        </a:xfrm>
        <a:prstGeom prst="rect">
          <a:avLst/>
        </a:prstGeom>
        <a:noFill/>
        <a:ln w="1">
          <a:noFill/>
          <a:miter lim="800000"/>
          <a:headEnd/>
          <a:tailEnd type="none" w="med" len="med"/>
        </a:ln>
        <a:effectLst/>
      </xdr:spPr>
    </xdr:pic>
    <xdr:clientData/>
  </xdr:twoCellAnchor>
  <xdr:twoCellAnchor editAs="oneCell">
    <xdr:from>
      <xdr:col>8</xdr:col>
      <xdr:colOff>1914525</xdr:colOff>
      <xdr:row>40</xdr:row>
      <xdr:rowOff>171450</xdr:rowOff>
    </xdr:from>
    <xdr:to>
      <xdr:col>13</xdr:col>
      <xdr:colOff>333375</xdr:colOff>
      <xdr:row>43</xdr:row>
      <xdr:rowOff>85725</xdr:rowOff>
    </xdr:to>
    <xdr:pic>
      <xdr:nvPicPr>
        <xdr:cNvPr id="2051" name="Picture 3"/>
        <xdr:cNvPicPr>
          <a:picLocks noChangeAspect="1" noChangeArrowheads="1"/>
        </xdr:cNvPicPr>
      </xdr:nvPicPr>
      <xdr:blipFill>
        <a:blip xmlns:r="http://schemas.openxmlformats.org/officeDocument/2006/relationships" r:embed="rId3" cstate="print"/>
        <a:srcRect/>
        <a:stretch>
          <a:fillRect/>
        </a:stretch>
      </xdr:blipFill>
      <xdr:spPr bwMode="auto">
        <a:xfrm>
          <a:off x="13087350" y="7458075"/>
          <a:ext cx="3152775" cy="45720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192.168.1.2/imagehost1.6.6/image.php?di=V2V6" TargetMode="External"/><Relationship Id="rId7" Type="http://schemas.openxmlformats.org/officeDocument/2006/relationships/printerSettings" Target="../printerSettings/printerSettings1.bin"/><Relationship Id="rId2" Type="http://schemas.openxmlformats.org/officeDocument/2006/relationships/hyperlink" Target="http://shkr.cdn.9splay.com.tw/Image/show2.png" TargetMode="External"/><Relationship Id="rId1" Type="http://schemas.openxmlformats.org/officeDocument/2006/relationships/hyperlink" Target="http://shkr.cdn.9splay.com.tw/Image/show2.png" TargetMode="External"/><Relationship Id="rId6" Type="http://schemas.openxmlformats.org/officeDocument/2006/relationships/hyperlink" Target="http://192.168.1.2/imagehost1.6.6/image.php?di=V2V6" TargetMode="External"/><Relationship Id="rId5" Type="http://schemas.openxmlformats.org/officeDocument/2006/relationships/hyperlink" Target="http://192.168.1.2/imagehost1.6.6/image.php?di=V2V6" TargetMode="External"/><Relationship Id="rId4" Type="http://schemas.openxmlformats.org/officeDocument/2006/relationships/hyperlink" Target="http://192.168.1.2/imagehost1.6.6/image.php?di=V2V6" TargetMode="External"/><Relationship Id="rId9"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192.168.1.2/imagehost1.6.6/image.php?di=V2V6" TargetMode="External"/><Relationship Id="rId2" Type="http://schemas.openxmlformats.org/officeDocument/2006/relationships/hyperlink" Target="http://shkr.cdn.9splay.com.tw/Image/show2.png" TargetMode="External"/><Relationship Id="rId1" Type="http://schemas.openxmlformats.org/officeDocument/2006/relationships/hyperlink" Target="http://shkr.cdn.9splay.com.tw/Image/show2.png" TargetMode="External"/><Relationship Id="rId5" Type="http://schemas.openxmlformats.org/officeDocument/2006/relationships/printerSettings" Target="../printerSettings/printerSettings3.bin"/><Relationship Id="rId4" Type="http://schemas.openxmlformats.org/officeDocument/2006/relationships/hyperlink" Target="http://192.168.1.2/imagehost1.6.6/image.php?di=V2V6"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BI319"/>
  <sheetViews>
    <sheetView workbookViewId="0">
      <pane xSplit="4" ySplit="2" topLeftCell="R3" activePane="bottomRight" state="frozen"/>
      <selection pane="topRight"/>
      <selection pane="bottomLeft"/>
      <selection pane="bottomRight" activeCell="D3" sqref="D3:D15"/>
    </sheetView>
  </sheetViews>
  <sheetFormatPr defaultRowHeight="20.100000000000001" customHeight="1"/>
  <cols>
    <col min="1" max="1" width="8.5" style="45" customWidth="1"/>
    <col min="2" max="2" width="5.75" style="45" customWidth="1"/>
    <col min="3" max="3" width="8.375" style="45" customWidth="1"/>
    <col min="4" max="4" width="18.5" style="45" customWidth="1"/>
    <col min="5" max="5" width="44.625" style="45" customWidth="1"/>
    <col min="6" max="6" width="53.25" style="72" customWidth="1"/>
    <col min="7" max="7" width="19.5" style="45" customWidth="1"/>
    <col min="8" max="9" width="11.625" style="53" customWidth="1"/>
    <col min="10" max="10" width="10.375" style="53" customWidth="1"/>
    <col min="11" max="11" width="11.625" style="53" customWidth="1"/>
    <col min="12" max="12" width="9.125" style="53" customWidth="1"/>
    <col min="13" max="13" width="10.625" style="53" customWidth="1"/>
    <col min="14" max="14" width="10.5" style="53" customWidth="1"/>
    <col min="15" max="15" width="12.875" style="45" customWidth="1"/>
    <col min="16" max="16" width="10" style="45" customWidth="1"/>
    <col min="17" max="17" width="12.125" style="45" customWidth="1"/>
    <col min="18" max="18" width="8.625" style="54" customWidth="1"/>
    <col min="19" max="19" width="8.625" style="53" customWidth="1"/>
    <col min="20" max="20" width="8.75" style="45" customWidth="1"/>
    <col min="21" max="21" width="9.75" style="45" customWidth="1"/>
    <col min="22" max="22" width="13.125" style="45" customWidth="1"/>
    <col min="23" max="23" width="19.625" style="45" customWidth="1"/>
    <col min="24" max="24" width="22" style="45" customWidth="1"/>
    <col min="25" max="25" width="16.625" style="45" customWidth="1"/>
    <col min="26" max="26" width="86.875" style="45" customWidth="1"/>
    <col min="27" max="27" width="11.875" style="45" customWidth="1"/>
    <col min="28" max="28" width="112" style="66" customWidth="1"/>
    <col min="29" max="30" width="16.875" style="45" customWidth="1"/>
    <col min="31" max="31" width="10.875" style="64" customWidth="1"/>
    <col min="32" max="32" width="12" style="63" customWidth="1"/>
    <col min="33" max="33" width="10.125" style="63" customWidth="1"/>
    <col min="34" max="34" width="11.75" style="63" customWidth="1"/>
    <col min="35" max="35" width="12.625" style="63" customWidth="1"/>
    <col min="36" max="36" width="8.5" style="63" customWidth="1"/>
    <col min="37" max="37" width="9.5" style="63" customWidth="1"/>
    <col min="38" max="38" width="11.125" style="63" customWidth="1"/>
    <col min="39" max="43" width="11.5" style="65" customWidth="1"/>
    <col min="44" max="47" width="14.375" style="65" customWidth="1"/>
    <col min="48" max="48" width="20.875" style="65" customWidth="1"/>
    <col min="49" max="51" width="8.625" style="22" customWidth="1"/>
    <col min="52" max="54" width="8.625" style="68" customWidth="1"/>
    <col min="55" max="55" width="9.5" style="68" customWidth="1"/>
    <col min="56" max="56" width="92.5" style="68" customWidth="1"/>
    <col min="57" max="58" width="8.625" style="68" customWidth="1"/>
    <col min="59" max="59" width="8.625" style="67" customWidth="1"/>
    <col min="60" max="60" width="8.625" style="68" customWidth="1"/>
    <col min="61" max="81" width="8.625" style="45" customWidth="1"/>
    <col min="82" max="16384" width="9" style="45"/>
  </cols>
  <sheetData>
    <row r="1" spans="1:61" ht="33" customHeight="1">
      <c r="A1" s="5" t="s">
        <v>0</v>
      </c>
      <c r="B1" s="5" t="s">
        <v>1</v>
      </c>
      <c r="C1" s="5" t="s">
        <v>2</v>
      </c>
      <c r="D1" s="5" t="s">
        <v>3</v>
      </c>
      <c r="E1" s="5" t="s">
        <v>4</v>
      </c>
      <c r="F1" s="82" t="s">
        <v>574</v>
      </c>
      <c r="G1" s="5" t="s">
        <v>6</v>
      </c>
      <c r="H1" s="6" t="s">
        <v>575</v>
      </c>
      <c r="I1" s="6" t="s">
        <v>576</v>
      </c>
      <c r="J1" s="6" t="s">
        <v>577</v>
      </c>
      <c r="K1" s="6" t="s">
        <v>578</v>
      </c>
      <c r="L1" s="6" t="s">
        <v>579</v>
      </c>
      <c r="M1" s="6" t="s">
        <v>9</v>
      </c>
      <c r="N1" s="6" t="s">
        <v>10</v>
      </c>
      <c r="O1" s="5" t="s">
        <v>11</v>
      </c>
      <c r="P1" s="5" t="s">
        <v>12</v>
      </c>
      <c r="Q1" s="5" t="s">
        <v>13</v>
      </c>
      <c r="R1" s="7" t="s">
        <v>580</v>
      </c>
      <c r="S1" s="44" t="s">
        <v>581</v>
      </c>
      <c r="T1" s="5" t="s">
        <v>27</v>
      </c>
      <c r="U1" s="5" t="s">
        <v>14</v>
      </c>
      <c r="V1" s="5" t="s">
        <v>15</v>
      </c>
      <c r="W1" s="5" t="s">
        <v>16</v>
      </c>
      <c r="X1" s="5" t="s">
        <v>26</v>
      </c>
      <c r="Y1" s="5" t="s">
        <v>28</v>
      </c>
      <c r="Z1" s="7" t="s">
        <v>29</v>
      </c>
      <c r="AA1" s="7" t="s">
        <v>582</v>
      </c>
      <c r="AB1" s="7" t="s">
        <v>583</v>
      </c>
      <c r="AC1" s="7" t="s">
        <v>584</v>
      </c>
      <c r="AD1" s="7" t="s">
        <v>585</v>
      </c>
      <c r="AE1" s="83"/>
      <c r="AF1" s="83"/>
      <c r="AG1" s="83"/>
      <c r="AH1" s="83"/>
      <c r="AI1" s="83"/>
      <c r="AJ1" s="83"/>
      <c r="AK1" s="83"/>
      <c r="AL1" s="83"/>
      <c r="AM1" s="83"/>
      <c r="AN1" s="83"/>
      <c r="AO1" s="83"/>
      <c r="AP1" s="83"/>
      <c r="AQ1" s="83"/>
      <c r="AR1" s="83"/>
      <c r="AS1" s="83"/>
      <c r="AT1" s="83"/>
      <c r="AU1" s="83"/>
      <c r="AV1" s="83"/>
      <c r="BG1" s="84"/>
    </row>
    <row r="2" spans="1:61" ht="20.100000000000001" customHeight="1">
      <c r="A2" s="8" t="s">
        <v>30</v>
      </c>
      <c r="B2" s="8" t="s">
        <v>31</v>
      </c>
      <c r="C2" s="8" t="s">
        <v>32</v>
      </c>
      <c r="D2" s="8" t="s">
        <v>33</v>
      </c>
      <c r="E2" s="8" t="s">
        <v>34</v>
      </c>
      <c r="F2" s="85" t="s">
        <v>35</v>
      </c>
      <c r="G2" s="8" t="s">
        <v>36</v>
      </c>
      <c r="H2" s="9" t="s">
        <v>37</v>
      </c>
      <c r="I2" s="9" t="s">
        <v>586</v>
      </c>
      <c r="J2" s="9" t="s">
        <v>38</v>
      </c>
      <c r="K2" s="9" t="s">
        <v>587</v>
      </c>
      <c r="L2" s="9" t="s">
        <v>588</v>
      </c>
      <c r="M2" s="9" t="s">
        <v>39</v>
      </c>
      <c r="N2" s="9" t="s">
        <v>40</v>
      </c>
      <c r="O2" s="8" t="s">
        <v>41</v>
      </c>
      <c r="P2" s="8" t="s">
        <v>42</v>
      </c>
      <c r="Q2" s="8" t="s">
        <v>43</v>
      </c>
      <c r="R2" s="10" t="s">
        <v>589</v>
      </c>
      <c r="S2" s="46" t="s">
        <v>590</v>
      </c>
      <c r="T2" s="8" t="s">
        <v>57</v>
      </c>
      <c r="U2" s="8" t="s">
        <v>44</v>
      </c>
      <c r="V2" s="8" t="s">
        <v>45</v>
      </c>
      <c r="W2" s="8" t="s">
        <v>46</v>
      </c>
      <c r="X2" s="8" t="s">
        <v>56</v>
      </c>
      <c r="Y2" s="8" t="s">
        <v>58</v>
      </c>
      <c r="Z2" s="10" t="s">
        <v>59</v>
      </c>
      <c r="AA2" s="10" t="s">
        <v>591</v>
      </c>
      <c r="AB2" s="86" t="s">
        <v>592</v>
      </c>
      <c r="AC2" s="86" t="s">
        <v>593</v>
      </c>
      <c r="AD2" s="86" t="s">
        <v>594</v>
      </c>
      <c r="AE2" s="87" t="s">
        <v>17</v>
      </c>
      <c r="AF2" s="87" t="s">
        <v>18</v>
      </c>
      <c r="AG2" s="87" t="s">
        <v>19</v>
      </c>
      <c r="AH2" s="87" t="s">
        <v>20</v>
      </c>
      <c r="AI2" s="87" t="s">
        <v>21</v>
      </c>
      <c r="AJ2" s="87" t="s">
        <v>22</v>
      </c>
      <c r="AK2" s="87" t="s">
        <v>24</v>
      </c>
      <c r="AL2" s="87" t="s">
        <v>25</v>
      </c>
      <c r="AM2" s="87" t="s">
        <v>595</v>
      </c>
      <c r="AN2" s="87" t="s">
        <v>596</v>
      </c>
      <c r="AO2" s="87" t="s">
        <v>597</v>
      </c>
      <c r="AP2" s="87" t="s">
        <v>598</v>
      </c>
      <c r="AQ2" s="87" t="s">
        <v>599</v>
      </c>
      <c r="AR2" s="87" t="s">
        <v>600</v>
      </c>
      <c r="AS2" s="87" t="s">
        <v>601</v>
      </c>
      <c r="AT2" s="87" t="s">
        <v>602</v>
      </c>
      <c r="AU2" s="87" t="s">
        <v>603</v>
      </c>
      <c r="AV2" s="87" t="s">
        <v>604</v>
      </c>
      <c r="AW2" s="88" t="s">
        <v>605</v>
      </c>
      <c r="AX2" s="88" t="s">
        <v>606</v>
      </c>
      <c r="AY2" s="88" t="s">
        <v>413</v>
      </c>
      <c r="AZ2" s="88" t="s">
        <v>607</v>
      </c>
      <c r="BA2" s="88" t="s">
        <v>608</v>
      </c>
      <c r="BB2" s="88" t="s">
        <v>609</v>
      </c>
      <c r="BC2" s="88" t="s">
        <v>610</v>
      </c>
      <c r="BD2" s="88" t="s">
        <v>414</v>
      </c>
      <c r="BE2" s="88" t="s">
        <v>415</v>
      </c>
      <c r="BF2" s="88" t="s">
        <v>416</v>
      </c>
      <c r="BG2" s="89" t="s">
        <v>611</v>
      </c>
      <c r="BH2" s="68" t="s">
        <v>612</v>
      </c>
    </row>
    <row r="3" spans="1:61" s="118" customFormat="1" ht="16.5">
      <c r="A3" s="94" t="s">
        <v>613</v>
      </c>
      <c r="B3" s="74">
        <v>1</v>
      </c>
      <c r="C3" s="74">
        <v>1</v>
      </c>
      <c r="D3" s="92" t="s">
        <v>614</v>
      </c>
      <c r="E3" s="137">
        <v>60</v>
      </c>
      <c r="F3" s="115" t="s">
        <v>1021</v>
      </c>
      <c r="G3" s="74" t="s">
        <v>615</v>
      </c>
      <c r="H3" s="94" t="s">
        <v>241</v>
      </c>
      <c r="I3" s="94" t="s">
        <v>241</v>
      </c>
      <c r="J3" s="93" t="s">
        <v>616</v>
      </c>
      <c r="K3" s="93" t="s">
        <v>616</v>
      </c>
      <c r="L3" s="94"/>
      <c r="M3" s="94" t="s">
        <v>61</v>
      </c>
      <c r="N3" s="94" t="s">
        <v>62</v>
      </c>
      <c r="O3" s="74" t="s">
        <v>63</v>
      </c>
      <c r="P3" s="74" t="s">
        <v>64</v>
      </c>
      <c r="Q3" s="94" t="s">
        <v>617</v>
      </c>
      <c r="R3" s="97"/>
      <c r="S3" s="94"/>
      <c r="T3" s="74"/>
      <c r="U3" s="74">
        <v>1</v>
      </c>
      <c r="V3" s="74">
        <v>0</v>
      </c>
      <c r="W3" s="74"/>
      <c r="X3" s="74" t="s">
        <v>65</v>
      </c>
      <c r="Y3" s="74"/>
      <c r="Z3" s="74"/>
      <c r="AA3" s="74"/>
      <c r="AB3" s="96" t="str">
        <f t="shared" ref="AB3:AB50" si="0">CONCATENATE(AW3,BG3,AX3,BG3,AY3,BG3,AZ3,BG3,BA3,BG3,BB3,BG3,BC3,BG3,BD3,BG3,BE3,BG3,BF3)</f>
        <v>;;;;;;;1081011:1|1083011:1|1085011:1|1086011:1;;</v>
      </c>
      <c r="AC3" s="137">
        <v>60</v>
      </c>
      <c r="AD3" s="96"/>
      <c r="AE3" s="74"/>
      <c r="AF3" s="74"/>
      <c r="AG3" s="74"/>
      <c r="AH3" s="74"/>
      <c r="AI3" s="137">
        <v>60</v>
      </c>
      <c r="AJ3" s="74"/>
      <c r="AK3" s="74"/>
      <c r="AL3" s="74"/>
      <c r="AM3" s="74"/>
      <c r="AN3" s="74"/>
      <c r="AO3" s="74"/>
      <c r="AP3" s="74"/>
      <c r="AQ3" s="74"/>
      <c r="AR3" s="74"/>
      <c r="AS3" s="74"/>
      <c r="AT3" s="74"/>
      <c r="AU3" s="74"/>
      <c r="AV3" s="74"/>
      <c r="AW3" s="132"/>
      <c r="AX3" s="132"/>
      <c r="AY3" s="132"/>
      <c r="AZ3" s="132"/>
      <c r="BA3" s="132"/>
      <c r="BB3" s="132"/>
      <c r="BC3" s="133"/>
      <c r="BD3" s="134" t="s">
        <v>618</v>
      </c>
      <c r="BE3" s="132"/>
      <c r="BF3" s="132"/>
      <c r="BG3" s="74" t="s">
        <v>619</v>
      </c>
      <c r="BH3" s="74">
        <v>3020063</v>
      </c>
      <c r="BI3" s="80"/>
    </row>
    <row r="4" spans="1:61" s="118" customFormat="1" ht="16.5">
      <c r="A4" s="94" t="s">
        <v>66</v>
      </c>
      <c r="B4" s="74">
        <v>1</v>
      </c>
      <c r="C4" s="74">
        <v>1</v>
      </c>
      <c r="D4" s="92" t="s">
        <v>614</v>
      </c>
      <c r="E4" s="137">
        <v>1980</v>
      </c>
      <c r="F4" s="115" t="s">
        <v>620</v>
      </c>
      <c r="G4" s="74" t="s">
        <v>615</v>
      </c>
      <c r="H4" s="94" t="s">
        <v>241</v>
      </c>
      <c r="I4" s="94" t="s">
        <v>241</v>
      </c>
      <c r="J4" s="93" t="s">
        <v>616</v>
      </c>
      <c r="K4" s="93" t="s">
        <v>616</v>
      </c>
      <c r="L4" s="94"/>
      <c r="M4" s="94" t="s">
        <v>61</v>
      </c>
      <c r="N4" s="94" t="s">
        <v>62</v>
      </c>
      <c r="O4" s="74" t="s">
        <v>63</v>
      </c>
      <c r="P4" s="74" t="s">
        <v>64</v>
      </c>
      <c r="Q4" s="94" t="s">
        <v>617</v>
      </c>
      <c r="R4" s="97"/>
      <c r="S4" s="94"/>
      <c r="T4" s="74"/>
      <c r="U4" s="74">
        <v>1</v>
      </c>
      <c r="V4" s="74">
        <v>0</v>
      </c>
      <c r="W4" s="74"/>
      <c r="X4" s="74" t="s">
        <v>65</v>
      </c>
      <c r="Y4" s="74"/>
      <c r="Z4" s="74"/>
      <c r="AA4" s="74"/>
      <c r="AB4" s="96" t="str">
        <f t="shared" si="0"/>
        <v>;;;;;;;1131500:1;;</v>
      </c>
      <c r="AC4" s="137">
        <v>1980</v>
      </c>
      <c r="AD4" s="96"/>
      <c r="AE4" s="74"/>
      <c r="AF4" s="74"/>
      <c r="AG4" s="74"/>
      <c r="AH4" s="74"/>
      <c r="AI4" s="137">
        <v>1980</v>
      </c>
      <c r="AJ4" s="74"/>
      <c r="AK4" s="74"/>
      <c r="AL4" s="74"/>
      <c r="AM4" s="74"/>
      <c r="AN4" s="74"/>
      <c r="AO4" s="74"/>
      <c r="AP4" s="74"/>
      <c r="AQ4" s="74"/>
      <c r="AR4" s="74"/>
      <c r="AS4" s="74"/>
      <c r="AT4" s="74"/>
      <c r="AU4" s="74"/>
      <c r="AV4" s="74"/>
      <c r="AW4" s="132"/>
      <c r="AX4" s="132"/>
      <c r="AY4" s="132"/>
      <c r="AZ4" s="132"/>
      <c r="BA4" s="132"/>
      <c r="BB4" s="132"/>
      <c r="BC4" s="133"/>
      <c r="BD4" s="134" t="s">
        <v>621</v>
      </c>
      <c r="BE4" s="132"/>
      <c r="BF4" s="132"/>
      <c r="BG4" s="74" t="s">
        <v>619</v>
      </c>
      <c r="BH4" s="74">
        <v>3020063</v>
      </c>
      <c r="BI4" s="80"/>
    </row>
    <row r="5" spans="1:61" s="118" customFormat="1" ht="16.5">
      <c r="A5" s="94" t="s">
        <v>67</v>
      </c>
      <c r="B5" s="74">
        <v>1</v>
      </c>
      <c r="C5" s="74">
        <v>1</v>
      </c>
      <c r="D5" s="92" t="s">
        <v>614</v>
      </c>
      <c r="E5" s="137">
        <v>3280</v>
      </c>
      <c r="F5" s="115" t="s">
        <v>622</v>
      </c>
      <c r="G5" s="74" t="s">
        <v>615</v>
      </c>
      <c r="H5" s="94" t="s">
        <v>242</v>
      </c>
      <c r="I5" s="94" t="s">
        <v>242</v>
      </c>
      <c r="J5" s="93" t="s">
        <v>616</v>
      </c>
      <c r="K5" s="93" t="s">
        <v>616</v>
      </c>
      <c r="L5" s="94"/>
      <c r="M5" s="94" t="s">
        <v>61</v>
      </c>
      <c r="N5" s="94" t="s">
        <v>62</v>
      </c>
      <c r="O5" s="74" t="s">
        <v>63</v>
      </c>
      <c r="P5" s="74" t="s">
        <v>64</v>
      </c>
      <c r="Q5" s="94" t="s">
        <v>617</v>
      </c>
      <c r="R5" s="97"/>
      <c r="S5" s="94"/>
      <c r="T5" s="74"/>
      <c r="U5" s="74">
        <v>1</v>
      </c>
      <c r="V5" s="74">
        <v>0</v>
      </c>
      <c r="W5" s="74"/>
      <c r="X5" s="74" t="s">
        <v>65</v>
      </c>
      <c r="Y5" s="74"/>
      <c r="Z5" s="74"/>
      <c r="AA5" s="74"/>
      <c r="AB5" s="96" t="str">
        <f t="shared" si="0"/>
        <v>;;;;;;;1091402:1|1092402:1|1093402:1|1094402:1|1095402:1|1096402:1;;</v>
      </c>
      <c r="AC5" s="137">
        <v>3280</v>
      </c>
      <c r="AD5" s="96"/>
      <c r="AE5" s="74"/>
      <c r="AF5" s="74"/>
      <c r="AG5" s="74"/>
      <c r="AH5" s="74"/>
      <c r="AI5" s="137">
        <v>3280</v>
      </c>
      <c r="AJ5" s="74"/>
      <c r="AK5" s="74"/>
      <c r="AL5" s="74"/>
      <c r="AM5" s="74"/>
      <c r="AN5" s="74"/>
      <c r="AO5" s="74"/>
      <c r="AP5" s="74"/>
      <c r="AQ5" s="74"/>
      <c r="AR5" s="74"/>
      <c r="AS5" s="74"/>
      <c r="AT5" s="74"/>
      <c r="AU5" s="74"/>
      <c r="AV5" s="74"/>
      <c r="AW5" s="132"/>
      <c r="AX5" s="132"/>
      <c r="AY5" s="132"/>
      <c r="AZ5" s="132"/>
      <c r="BA5" s="132"/>
      <c r="BB5" s="132"/>
      <c r="BC5" s="135"/>
      <c r="BD5" s="134" t="s">
        <v>623</v>
      </c>
      <c r="BE5" s="132"/>
      <c r="BF5" s="132"/>
      <c r="BG5" s="74" t="s">
        <v>619</v>
      </c>
      <c r="BH5" s="74">
        <v>3020064</v>
      </c>
      <c r="BI5" s="80"/>
    </row>
    <row r="6" spans="1:61" s="118" customFormat="1" ht="16.5">
      <c r="A6" s="94" t="s">
        <v>68</v>
      </c>
      <c r="B6" s="74">
        <v>1</v>
      </c>
      <c r="C6" s="74">
        <v>1</v>
      </c>
      <c r="D6" s="92" t="s">
        <v>614</v>
      </c>
      <c r="E6" s="137">
        <v>6480</v>
      </c>
      <c r="F6" s="115" t="s">
        <v>624</v>
      </c>
      <c r="G6" s="74" t="s">
        <v>615</v>
      </c>
      <c r="H6" s="94" t="s">
        <v>243</v>
      </c>
      <c r="I6" s="94" t="s">
        <v>243</v>
      </c>
      <c r="J6" s="93" t="s">
        <v>616</v>
      </c>
      <c r="K6" s="93" t="s">
        <v>616</v>
      </c>
      <c r="L6" s="94"/>
      <c r="M6" s="94" t="s">
        <v>61</v>
      </c>
      <c r="N6" s="94" t="s">
        <v>62</v>
      </c>
      <c r="O6" s="74" t="s">
        <v>63</v>
      </c>
      <c r="P6" s="74" t="s">
        <v>64</v>
      </c>
      <c r="Q6" s="94" t="s">
        <v>617</v>
      </c>
      <c r="R6" s="97"/>
      <c r="S6" s="94"/>
      <c r="T6" s="74"/>
      <c r="U6" s="74">
        <v>1</v>
      </c>
      <c r="V6" s="74">
        <v>0</v>
      </c>
      <c r="W6" s="74"/>
      <c r="X6" s="74" t="s">
        <v>65</v>
      </c>
      <c r="Y6" s="74"/>
      <c r="Z6" s="74"/>
      <c r="AA6" s="74"/>
      <c r="AB6" s="96" t="str">
        <f t="shared" si="0"/>
        <v>;;;;;;;1101501:1|1102501:1|1103501:1|1104501:1|1105501:1|1106501:1;;</v>
      </c>
      <c r="AC6" s="137">
        <v>6480</v>
      </c>
      <c r="AD6" s="96"/>
      <c r="AE6" s="74"/>
      <c r="AF6" s="74"/>
      <c r="AG6" s="74"/>
      <c r="AH6" s="74"/>
      <c r="AI6" s="137">
        <v>6480</v>
      </c>
      <c r="AJ6" s="74"/>
      <c r="AK6" s="74"/>
      <c r="AL6" s="74"/>
      <c r="AM6" s="74"/>
      <c r="AN6" s="74"/>
      <c r="AO6" s="74"/>
      <c r="AP6" s="74"/>
      <c r="AQ6" s="74"/>
      <c r="AR6" s="74"/>
      <c r="AS6" s="74"/>
      <c r="AT6" s="74"/>
      <c r="AU6" s="74"/>
      <c r="AV6" s="74"/>
      <c r="AW6" s="132"/>
      <c r="AX6" s="132"/>
      <c r="AY6" s="132"/>
      <c r="AZ6" s="132"/>
      <c r="BA6" s="132"/>
      <c r="BB6" s="132"/>
      <c r="BC6" s="132"/>
      <c r="BD6" s="134" t="s">
        <v>1094</v>
      </c>
      <c r="BE6" s="132"/>
      <c r="BF6" s="132"/>
      <c r="BG6" s="74" t="s">
        <v>619</v>
      </c>
      <c r="BH6" s="74">
        <v>3020065</v>
      </c>
      <c r="BI6" s="80"/>
    </row>
    <row r="7" spans="1:61" s="118" customFormat="1" ht="14.25">
      <c r="A7" s="94" t="s">
        <v>69</v>
      </c>
      <c r="B7" s="74">
        <v>1</v>
      </c>
      <c r="C7" s="74">
        <v>1</v>
      </c>
      <c r="D7" s="92" t="s">
        <v>614</v>
      </c>
      <c r="E7" s="137">
        <v>10000</v>
      </c>
      <c r="F7" s="115" t="s">
        <v>625</v>
      </c>
      <c r="G7" s="74" t="s">
        <v>615</v>
      </c>
      <c r="H7" s="94" t="s">
        <v>244</v>
      </c>
      <c r="I7" s="94" t="s">
        <v>244</v>
      </c>
      <c r="J7" s="93" t="s">
        <v>616</v>
      </c>
      <c r="K7" s="93" t="s">
        <v>616</v>
      </c>
      <c r="L7" s="94"/>
      <c r="M7" s="94" t="s">
        <v>61</v>
      </c>
      <c r="N7" s="94" t="s">
        <v>62</v>
      </c>
      <c r="O7" s="74" t="s">
        <v>63</v>
      </c>
      <c r="P7" s="74" t="s">
        <v>64</v>
      </c>
      <c r="Q7" s="94" t="s">
        <v>617</v>
      </c>
      <c r="R7" s="97"/>
      <c r="S7" s="94"/>
      <c r="T7" s="74"/>
      <c r="U7" s="74">
        <v>1</v>
      </c>
      <c r="V7" s="74">
        <v>0</v>
      </c>
      <c r="W7" s="74"/>
      <c r="X7" s="74" t="s">
        <v>65</v>
      </c>
      <c r="Y7" s="74"/>
      <c r="Z7" s="74"/>
      <c r="AA7" s="74"/>
      <c r="AB7" s="96" t="str">
        <f t="shared" si="0"/>
        <v>;;;;;;;4011000:10|4013000:10|4015000:10|4016000:10|1091502:1|1092502:1|1093502:1|1094502:1|1095502:1|1096502:1|1040501:1|1030501:1;;</v>
      </c>
      <c r="AC7" s="137">
        <v>10000</v>
      </c>
      <c r="AD7" s="96"/>
      <c r="AE7" s="74"/>
      <c r="AF7" s="74"/>
      <c r="AG7" s="74"/>
      <c r="AH7" s="74"/>
      <c r="AI7" s="137">
        <v>10000</v>
      </c>
      <c r="AJ7" s="74"/>
      <c r="AK7" s="74"/>
      <c r="AL7" s="74"/>
      <c r="AM7" s="74"/>
      <c r="AN7" s="74"/>
      <c r="AO7" s="74"/>
      <c r="AP7" s="74"/>
      <c r="AQ7" s="74"/>
      <c r="AR7" s="74"/>
      <c r="AS7" s="74"/>
      <c r="AT7" s="74"/>
      <c r="AU7" s="74"/>
      <c r="AV7" s="74"/>
      <c r="AW7" s="132"/>
      <c r="AX7" s="132"/>
      <c r="AY7" s="132"/>
      <c r="AZ7" s="132"/>
      <c r="BA7" s="132"/>
      <c r="BB7" s="132"/>
      <c r="BC7" s="132"/>
      <c r="BD7" s="136" t="s">
        <v>1018</v>
      </c>
      <c r="BE7" s="132"/>
      <c r="BF7" s="132"/>
      <c r="BG7" s="74" t="s">
        <v>619</v>
      </c>
      <c r="BH7" s="74">
        <v>3020066</v>
      </c>
      <c r="BI7" s="80"/>
    </row>
    <row r="8" spans="1:61" s="75" customFormat="1" ht="20.100000000000001" customHeight="1">
      <c r="A8" s="94" t="s">
        <v>223</v>
      </c>
      <c r="B8" s="74">
        <v>1</v>
      </c>
      <c r="C8" s="74">
        <v>1</v>
      </c>
      <c r="D8" s="92" t="s">
        <v>614</v>
      </c>
      <c r="E8" s="137">
        <v>16000</v>
      </c>
      <c r="F8" s="115" t="s">
        <v>626</v>
      </c>
      <c r="G8" s="74" t="s">
        <v>615</v>
      </c>
      <c r="H8" s="94" t="s">
        <v>245</v>
      </c>
      <c r="I8" s="94" t="s">
        <v>245</v>
      </c>
      <c r="J8" s="93" t="s">
        <v>616</v>
      </c>
      <c r="K8" s="93" t="s">
        <v>616</v>
      </c>
      <c r="L8" s="94"/>
      <c r="M8" s="94" t="s">
        <v>61</v>
      </c>
      <c r="N8" s="94" t="s">
        <v>62</v>
      </c>
      <c r="O8" s="74" t="s">
        <v>63</v>
      </c>
      <c r="P8" s="74" t="s">
        <v>64</v>
      </c>
      <c r="Q8" s="94" t="s">
        <v>617</v>
      </c>
      <c r="R8" s="97"/>
      <c r="S8" s="94"/>
      <c r="T8" s="74"/>
      <c r="U8" s="74">
        <v>1</v>
      </c>
      <c r="V8" s="74">
        <v>0</v>
      </c>
      <c r="W8" s="74"/>
      <c r="X8" s="74" t="s">
        <v>65</v>
      </c>
      <c r="Y8" s="74"/>
      <c r="Z8" s="74"/>
      <c r="AA8" s="74"/>
      <c r="AB8" s="96" t="str">
        <f t="shared" si="0"/>
        <v>;;;;;;;4011000:20|4013000:20|4015000:20|4016000:20|4040003:20|1120501:1|3040000:500;;</v>
      </c>
      <c r="AC8" s="137">
        <v>16000</v>
      </c>
      <c r="AD8" s="96"/>
      <c r="AE8" s="74"/>
      <c r="AF8" s="74"/>
      <c r="AG8" s="74"/>
      <c r="AH8" s="74"/>
      <c r="AI8" s="137">
        <v>16000</v>
      </c>
      <c r="AJ8" s="74"/>
      <c r="AK8" s="74"/>
      <c r="AL8" s="74"/>
      <c r="AM8" s="74"/>
      <c r="AN8" s="74"/>
      <c r="AO8" s="74"/>
      <c r="AP8" s="74"/>
      <c r="AQ8" s="74"/>
      <c r="AR8" s="74"/>
      <c r="AS8" s="74"/>
      <c r="AT8" s="74"/>
      <c r="AU8" s="74"/>
      <c r="AV8" s="74"/>
      <c r="AW8" s="132"/>
      <c r="AX8" s="132"/>
      <c r="AY8" s="116"/>
      <c r="AZ8" s="132"/>
      <c r="BA8" s="132"/>
      <c r="BB8" s="132"/>
      <c r="BC8" s="132"/>
      <c r="BD8" s="132" t="s">
        <v>1019</v>
      </c>
      <c r="BE8" s="132"/>
      <c r="BF8" s="132"/>
      <c r="BG8" s="74" t="s">
        <v>619</v>
      </c>
      <c r="BH8" s="74">
        <v>3020067</v>
      </c>
      <c r="BI8" s="80"/>
    </row>
    <row r="9" spans="1:61" s="77" customFormat="1" ht="20.100000000000001" customHeight="1">
      <c r="A9" s="94" t="s">
        <v>224</v>
      </c>
      <c r="B9" s="74">
        <v>1</v>
      </c>
      <c r="C9" s="74">
        <v>1</v>
      </c>
      <c r="D9" s="92" t="s">
        <v>614</v>
      </c>
      <c r="E9" s="137">
        <v>24000</v>
      </c>
      <c r="F9" s="115" t="s">
        <v>627</v>
      </c>
      <c r="G9" s="74" t="s">
        <v>615</v>
      </c>
      <c r="H9" s="94" t="s">
        <v>246</v>
      </c>
      <c r="I9" s="94" t="s">
        <v>246</v>
      </c>
      <c r="J9" s="93" t="s">
        <v>616</v>
      </c>
      <c r="K9" s="93" t="s">
        <v>616</v>
      </c>
      <c r="L9" s="94"/>
      <c r="M9" s="94" t="s">
        <v>61</v>
      </c>
      <c r="N9" s="94" t="s">
        <v>62</v>
      </c>
      <c r="O9" s="74" t="s">
        <v>63</v>
      </c>
      <c r="P9" s="74" t="s">
        <v>64</v>
      </c>
      <c r="Q9" s="94" t="s">
        <v>617</v>
      </c>
      <c r="R9" s="97"/>
      <c r="S9" s="94"/>
      <c r="T9" s="74"/>
      <c r="U9" s="74">
        <v>1</v>
      </c>
      <c r="V9" s="74">
        <v>0</v>
      </c>
      <c r="W9" s="74"/>
      <c r="X9" s="74" t="s">
        <v>65</v>
      </c>
      <c r="Y9" s="74"/>
      <c r="Z9" s="74"/>
      <c r="AA9" s="74"/>
      <c r="AB9" s="96" t="str">
        <f t="shared" si="0"/>
        <v>;;;;;;;4011000:40|4013000:40|4015000:40|4016000:40|1101507:1|1102507:1|1103507:1|1104507:1|1105507:1|1106507:1|2040006:1|3170000:5;;</v>
      </c>
      <c r="AC9" s="137">
        <v>24000</v>
      </c>
      <c r="AD9" s="96"/>
      <c r="AE9" s="74"/>
      <c r="AF9" s="74"/>
      <c r="AG9" s="74"/>
      <c r="AH9" s="74"/>
      <c r="AI9" s="137">
        <v>24000</v>
      </c>
      <c r="AJ9" s="74"/>
      <c r="AK9" s="74"/>
      <c r="AL9" s="74"/>
      <c r="AM9" s="74"/>
      <c r="AN9" s="74"/>
      <c r="AO9" s="74"/>
      <c r="AP9" s="74"/>
      <c r="AQ9" s="74"/>
      <c r="AR9" s="74"/>
      <c r="AS9" s="74"/>
      <c r="AT9" s="74"/>
      <c r="AU9" s="74"/>
      <c r="AV9" s="74"/>
      <c r="AW9" s="132"/>
      <c r="AX9" s="132"/>
      <c r="AY9" s="132"/>
      <c r="AZ9" s="132"/>
      <c r="BA9" s="132"/>
      <c r="BB9" s="132"/>
      <c r="BC9" s="132"/>
      <c r="BD9" s="132" t="s">
        <v>1020</v>
      </c>
      <c r="BE9" s="132"/>
      <c r="BF9" s="132"/>
      <c r="BG9" s="74" t="s">
        <v>619</v>
      </c>
      <c r="BH9" s="74">
        <v>3020068</v>
      </c>
      <c r="BI9" s="80"/>
    </row>
    <row r="10" spans="1:61" s="202" customFormat="1" ht="20.100000000000001" customHeight="1">
      <c r="A10" s="39" t="s">
        <v>657</v>
      </c>
      <c r="B10" s="201">
        <v>1</v>
      </c>
      <c r="C10" s="201">
        <v>2</v>
      </c>
      <c r="D10" s="208" t="s">
        <v>658</v>
      </c>
      <c r="E10" s="207" t="s">
        <v>659</v>
      </c>
      <c r="F10" s="200" t="str">
        <f>"累计充值"&amp;AC10&amp;"钻即可获得奖励"</f>
        <v>累计充值1000钻即可获得奖励</v>
      </c>
      <c r="G10" s="199" t="s">
        <v>660</v>
      </c>
      <c r="H10" s="207" t="s">
        <v>1196</v>
      </c>
      <c r="I10" s="207" t="s">
        <v>1196</v>
      </c>
      <c r="J10" s="207" t="s">
        <v>1197</v>
      </c>
      <c r="K10" s="207" t="s">
        <v>1197</v>
      </c>
      <c r="L10" s="207"/>
      <c r="M10" s="207" t="s">
        <v>61</v>
      </c>
      <c r="N10" s="207" t="s">
        <v>62</v>
      </c>
      <c r="O10" s="201" t="s">
        <v>63</v>
      </c>
      <c r="P10" s="201" t="s">
        <v>64</v>
      </c>
      <c r="Q10" s="207" t="s">
        <v>617</v>
      </c>
      <c r="R10" s="210"/>
      <c r="S10" s="207"/>
      <c r="T10" s="201"/>
      <c r="U10" s="201">
        <v>1</v>
      </c>
      <c r="V10" s="201">
        <v>0</v>
      </c>
      <c r="W10" s="201"/>
      <c r="X10" s="201" t="s">
        <v>65</v>
      </c>
      <c r="Y10" s="201"/>
      <c r="Z10" s="201"/>
      <c r="AA10" s="201"/>
      <c r="AB10" s="200" t="str">
        <f t="shared" si="0"/>
        <v>500000;;;;;;;3090200:200|4011000:3|4013000:3|4015000:3|4016000:3;;</v>
      </c>
      <c r="AC10" s="234">
        <v>1000</v>
      </c>
      <c r="AD10" s="235"/>
      <c r="AE10" s="235"/>
      <c r="AF10" s="235"/>
      <c r="AG10" s="235"/>
      <c r="AH10" s="235"/>
      <c r="AI10" s="234">
        <v>1000</v>
      </c>
      <c r="AJ10" s="235"/>
      <c r="AK10" s="235"/>
      <c r="AL10" s="235"/>
      <c r="AM10" s="235"/>
      <c r="AN10" s="235"/>
      <c r="AO10" s="235"/>
      <c r="AP10" s="235"/>
      <c r="AQ10" s="235"/>
      <c r="AR10" s="235"/>
      <c r="AS10" s="235"/>
      <c r="AT10" s="235"/>
      <c r="AU10" s="235"/>
      <c r="AV10" s="235"/>
      <c r="AW10" s="236" t="s">
        <v>1074</v>
      </c>
      <c r="AX10" s="236"/>
      <c r="AY10" s="236"/>
      <c r="AZ10" s="236"/>
      <c r="BA10" s="236"/>
      <c r="BB10" s="236"/>
      <c r="BC10" s="236"/>
      <c r="BD10" s="237" t="s">
        <v>1075</v>
      </c>
      <c r="BE10" s="235"/>
      <c r="BF10" s="235"/>
      <c r="BG10" s="201" t="s">
        <v>619</v>
      </c>
      <c r="BH10" s="201"/>
      <c r="BI10" s="124"/>
    </row>
    <row r="11" spans="1:61" s="202" customFormat="1" ht="20.100000000000001" customHeight="1">
      <c r="A11" s="39" t="s">
        <v>75</v>
      </c>
      <c r="B11" s="201">
        <v>1</v>
      </c>
      <c r="C11" s="201">
        <v>2</v>
      </c>
      <c r="D11" s="208" t="s">
        <v>658</v>
      </c>
      <c r="E11" s="207" t="s">
        <v>661</v>
      </c>
      <c r="F11" s="200" t="str">
        <f t="shared" ref="F11:F15" si="1">"累计充值"&amp;AC11&amp;"钻即可获得奖励"</f>
        <v>累计充值2000钻即可获得奖励</v>
      </c>
      <c r="G11" s="199" t="s">
        <v>660</v>
      </c>
      <c r="H11" s="207" t="s">
        <v>1196</v>
      </c>
      <c r="I11" s="207" t="s">
        <v>1196</v>
      </c>
      <c r="J11" s="207" t="s">
        <v>1197</v>
      </c>
      <c r="K11" s="207" t="s">
        <v>1197</v>
      </c>
      <c r="L11" s="207"/>
      <c r="M11" s="207" t="s">
        <v>61</v>
      </c>
      <c r="N11" s="207" t="s">
        <v>62</v>
      </c>
      <c r="O11" s="201" t="s">
        <v>63</v>
      </c>
      <c r="P11" s="201" t="s">
        <v>64</v>
      </c>
      <c r="Q11" s="207" t="s">
        <v>617</v>
      </c>
      <c r="R11" s="210"/>
      <c r="S11" s="207"/>
      <c r="T11" s="201"/>
      <c r="U11" s="201">
        <v>1</v>
      </c>
      <c r="V11" s="201">
        <v>0</v>
      </c>
      <c r="W11" s="201"/>
      <c r="X11" s="201" t="s">
        <v>65</v>
      </c>
      <c r="Y11" s="201"/>
      <c r="Z11" s="201"/>
      <c r="AA11" s="201"/>
      <c r="AB11" s="200" t="str">
        <f t="shared" si="0"/>
        <v>;;;;;;;3090400:100|4011000:5|4013000:5|4015000:5|4016000:5|4080005:10;;</v>
      </c>
      <c r="AC11" s="234">
        <v>2000</v>
      </c>
      <c r="AD11" s="235"/>
      <c r="AE11" s="235"/>
      <c r="AF11" s="235"/>
      <c r="AG11" s="235"/>
      <c r="AH11" s="235"/>
      <c r="AI11" s="234">
        <v>2000</v>
      </c>
      <c r="AJ11" s="235"/>
      <c r="AK11" s="235"/>
      <c r="AL11" s="235"/>
      <c r="AM11" s="235"/>
      <c r="AN11" s="235"/>
      <c r="AO11" s="235"/>
      <c r="AP11" s="235"/>
      <c r="AQ11" s="235"/>
      <c r="AR11" s="235"/>
      <c r="AS11" s="235"/>
      <c r="AT11" s="235"/>
      <c r="AU11" s="235"/>
      <c r="AV11" s="235"/>
      <c r="AW11" s="236"/>
      <c r="AX11" s="236"/>
      <c r="AY11" s="236"/>
      <c r="AZ11" s="236"/>
      <c r="BA11" s="236"/>
      <c r="BB11" s="236"/>
      <c r="BC11" s="236"/>
      <c r="BD11" s="237" t="s">
        <v>1076</v>
      </c>
      <c r="BE11" s="235"/>
      <c r="BF11" s="235"/>
      <c r="BG11" s="201" t="s">
        <v>619</v>
      </c>
      <c r="BH11" s="201"/>
      <c r="BI11" s="124"/>
    </row>
    <row r="12" spans="1:61" s="202" customFormat="1" ht="20.100000000000001" customHeight="1">
      <c r="A12" s="39" t="s">
        <v>79</v>
      </c>
      <c r="B12" s="201">
        <v>1</v>
      </c>
      <c r="C12" s="201">
        <v>2</v>
      </c>
      <c r="D12" s="208" t="s">
        <v>658</v>
      </c>
      <c r="E12" s="207" t="s">
        <v>662</v>
      </c>
      <c r="F12" s="200" t="str">
        <f t="shared" si="1"/>
        <v>累计充值6000钻即可获得奖励</v>
      </c>
      <c r="G12" s="199" t="s">
        <v>660</v>
      </c>
      <c r="H12" s="207" t="s">
        <v>1196</v>
      </c>
      <c r="I12" s="207" t="s">
        <v>1196</v>
      </c>
      <c r="J12" s="207" t="s">
        <v>1197</v>
      </c>
      <c r="K12" s="207" t="s">
        <v>1197</v>
      </c>
      <c r="L12" s="207"/>
      <c r="M12" s="207" t="s">
        <v>61</v>
      </c>
      <c r="N12" s="207" t="s">
        <v>62</v>
      </c>
      <c r="O12" s="201" t="s">
        <v>63</v>
      </c>
      <c r="P12" s="201" t="s">
        <v>64</v>
      </c>
      <c r="Q12" s="207" t="s">
        <v>617</v>
      </c>
      <c r="R12" s="210"/>
      <c r="S12" s="207"/>
      <c r="T12" s="201"/>
      <c r="U12" s="201">
        <v>1</v>
      </c>
      <c r="V12" s="201">
        <v>0</v>
      </c>
      <c r="W12" s="201"/>
      <c r="X12" s="201" t="s">
        <v>65</v>
      </c>
      <c r="Y12" s="201"/>
      <c r="Z12" s="201"/>
      <c r="AA12" s="201"/>
      <c r="AB12" s="200" t="str">
        <f t="shared" si="0"/>
        <v>;;;;;;;3020124:1|6080001:5|4011000:10|4013000:10|4015000:10|4016000:10|1091402:1|1092402:1|1093402:1|1094402:1|1095402:1|1096402:1;;</v>
      </c>
      <c r="AC12" s="234">
        <v>6000</v>
      </c>
      <c r="AD12" s="235"/>
      <c r="AE12" s="235"/>
      <c r="AF12" s="235"/>
      <c r="AG12" s="235"/>
      <c r="AH12" s="235"/>
      <c r="AI12" s="234">
        <v>6000</v>
      </c>
      <c r="AJ12" s="235"/>
      <c r="AK12" s="235"/>
      <c r="AL12" s="235"/>
      <c r="AM12" s="235"/>
      <c r="AN12" s="235"/>
      <c r="AO12" s="235"/>
      <c r="AP12" s="235"/>
      <c r="AQ12" s="235"/>
      <c r="AR12" s="235"/>
      <c r="AS12" s="235"/>
      <c r="AT12" s="235"/>
      <c r="AU12" s="235"/>
      <c r="AV12" s="235"/>
      <c r="AW12" s="236"/>
      <c r="AX12" s="236"/>
      <c r="AY12" s="236"/>
      <c r="AZ12" s="236"/>
      <c r="BA12" s="236"/>
      <c r="BB12" s="236"/>
      <c r="BC12" s="236"/>
      <c r="BD12" s="237" t="s">
        <v>1077</v>
      </c>
      <c r="BE12" s="235"/>
      <c r="BF12" s="235"/>
      <c r="BG12" s="201" t="s">
        <v>619</v>
      </c>
      <c r="BH12" s="201"/>
      <c r="BI12" s="124"/>
    </row>
    <row r="13" spans="1:61" s="202" customFormat="1" ht="20.100000000000001" customHeight="1">
      <c r="A13" s="39" t="s">
        <v>83</v>
      </c>
      <c r="B13" s="201">
        <v>1</v>
      </c>
      <c r="C13" s="201">
        <v>2</v>
      </c>
      <c r="D13" s="208" t="s">
        <v>658</v>
      </c>
      <c r="E13" s="207" t="s">
        <v>663</v>
      </c>
      <c r="F13" s="200" t="str">
        <f t="shared" si="1"/>
        <v>累计充值12000钻即可获得奖励</v>
      </c>
      <c r="G13" s="199" t="s">
        <v>660</v>
      </c>
      <c r="H13" s="207" t="s">
        <v>1196</v>
      </c>
      <c r="I13" s="207" t="s">
        <v>1196</v>
      </c>
      <c r="J13" s="207" t="s">
        <v>1197</v>
      </c>
      <c r="K13" s="207" t="s">
        <v>1197</v>
      </c>
      <c r="L13" s="207"/>
      <c r="M13" s="207" t="s">
        <v>61</v>
      </c>
      <c r="N13" s="207" t="s">
        <v>62</v>
      </c>
      <c r="O13" s="201" t="s">
        <v>63</v>
      </c>
      <c r="P13" s="201" t="s">
        <v>64</v>
      </c>
      <c r="Q13" s="207" t="s">
        <v>617</v>
      </c>
      <c r="R13" s="210"/>
      <c r="S13" s="207"/>
      <c r="T13" s="201"/>
      <c r="U13" s="201">
        <v>1</v>
      </c>
      <c r="V13" s="201">
        <v>0</v>
      </c>
      <c r="W13" s="201"/>
      <c r="X13" s="201" t="s">
        <v>65</v>
      </c>
      <c r="Y13" s="201"/>
      <c r="Z13" s="201"/>
      <c r="AA13" s="201"/>
      <c r="AB13" s="200" t="str">
        <f t="shared" si="0"/>
        <v>;;;;;;;3020124:5|3090600:2|6080001:10|4011000:15|4013000:15|4015000:15|4016000:15|1091501:1|1092501:1|1093501:1|1094501:1|1095501:1|1096501:1;;</v>
      </c>
      <c r="AC13" s="234">
        <v>12000</v>
      </c>
      <c r="AD13" s="235"/>
      <c r="AE13" s="235"/>
      <c r="AF13" s="235"/>
      <c r="AG13" s="235"/>
      <c r="AH13" s="235"/>
      <c r="AI13" s="234">
        <v>12000</v>
      </c>
      <c r="AJ13" s="235"/>
      <c r="AK13" s="235"/>
      <c r="AL13" s="235"/>
      <c r="AM13" s="235"/>
      <c r="AN13" s="235"/>
      <c r="AO13" s="235"/>
      <c r="AP13" s="235"/>
      <c r="AQ13" s="235"/>
      <c r="AR13" s="235"/>
      <c r="AS13" s="235"/>
      <c r="AT13" s="235"/>
      <c r="AU13" s="235"/>
      <c r="AV13" s="235"/>
      <c r="AW13" s="236"/>
      <c r="AX13" s="236"/>
      <c r="AY13" s="236"/>
      <c r="AZ13" s="236"/>
      <c r="BA13" s="236"/>
      <c r="BB13" s="236"/>
      <c r="BC13" s="236"/>
      <c r="BD13" s="237" t="s">
        <v>1128</v>
      </c>
      <c r="BE13" s="235"/>
      <c r="BF13" s="235"/>
      <c r="BG13" s="201" t="s">
        <v>619</v>
      </c>
      <c r="BH13" s="201"/>
      <c r="BI13" s="124"/>
    </row>
    <row r="14" spans="1:61" s="202" customFormat="1" ht="20.100000000000001" customHeight="1">
      <c r="A14" s="39" t="s">
        <v>87</v>
      </c>
      <c r="B14" s="201">
        <v>1</v>
      </c>
      <c r="C14" s="201">
        <v>2</v>
      </c>
      <c r="D14" s="208" t="s">
        <v>658</v>
      </c>
      <c r="E14" s="207" t="s">
        <v>664</v>
      </c>
      <c r="F14" s="200" t="str">
        <f t="shared" si="1"/>
        <v>累计充值20000钻即可获得奖励</v>
      </c>
      <c r="G14" s="199" t="s">
        <v>660</v>
      </c>
      <c r="H14" s="207" t="s">
        <v>1196</v>
      </c>
      <c r="I14" s="207" t="s">
        <v>1196</v>
      </c>
      <c r="J14" s="207" t="s">
        <v>1197</v>
      </c>
      <c r="K14" s="207" t="s">
        <v>1197</v>
      </c>
      <c r="L14" s="207"/>
      <c r="M14" s="207" t="s">
        <v>61</v>
      </c>
      <c r="N14" s="207" t="s">
        <v>62</v>
      </c>
      <c r="O14" s="201" t="s">
        <v>63</v>
      </c>
      <c r="P14" s="201" t="s">
        <v>64</v>
      </c>
      <c r="Q14" s="207" t="s">
        <v>617</v>
      </c>
      <c r="R14" s="210"/>
      <c r="S14" s="207"/>
      <c r="T14" s="201"/>
      <c r="U14" s="201">
        <v>1</v>
      </c>
      <c r="V14" s="201">
        <v>0</v>
      </c>
      <c r="W14" s="201"/>
      <c r="X14" s="201" t="s">
        <v>65</v>
      </c>
      <c r="Y14" s="201"/>
      <c r="Z14" s="201"/>
      <c r="AA14" s="201"/>
      <c r="AB14" s="200" t="str">
        <f t="shared" si="0"/>
        <v>;;;;;;;3020224:1|3090600:4|6080001:10|4011000:20|4013000:20|4015000:20|4016000:20|1091502:1|1092502:1|1093502:1|1094502:1|1095501:1|1096502:1;;</v>
      </c>
      <c r="AC14" s="234">
        <v>20000</v>
      </c>
      <c r="AD14" s="235"/>
      <c r="AE14" s="235"/>
      <c r="AF14" s="235"/>
      <c r="AG14" s="235"/>
      <c r="AH14" s="235"/>
      <c r="AI14" s="234">
        <v>20000</v>
      </c>
      <c r="AJ14" s="235"/>
      <c r="AK14" s="235"/>
      <c r="AL14" s="235"/>
      <c r="AM14" s="235"/>
      <c r="AN14" s="235"/>
      <c r="AO14" s="235"/>
      <c r="AP14" s="235"/>
      <c r="AQ14" s="235"/>
      <c r="AR14" s="235"/>
      <c r="AS14" s="235"/>
      <c r="AT14" s="235"/>
      <c r="AU14" s="235"/>
      <c r="AV14" s="235"/>
      <c r="AW14" s="236"/>
      <c r="AX14" s="236"/>
      <c r="AY14" s="236"/>
      <c r="AZ14" s="236"/>
      <c r="BA14" s="236"/>
      <c r="BB14" s="236"/>
      <c r="BC14" s="236"/>
      <c r="BD14" s="237" t="s">
        <v>1129</v>
      </c>
      <c r="BE14" s="235"/>
      <c r="BF14" s="235"/>
      <c r="BG14" s="201" t="s">
        <v>619</v>
      </c>
      <c r="BH14" s="201"/>
      <c r="BI14" s="124"/>
    </row>
    <row r="15" spans="1:61" s="202" customFormat="1" ht="20.100000000000001" customHeight="1">
      <c r="A15" s="39" t="s">
        <v>90</v>
      </c>
      <c r="B15" s="201">
        <v>1</v>
      </c>
      <c r="C15" s="201">
        <v>2</v>
      </c>
      <c r="D15" s="208" t="s">
        <v>658</v>
      </c>
      <c r="E15" s="207" t="s">
        <v>665</v>
      </c>
      <c r="F15" s="200" t="str">
        <f t="shared" si="1"/>
        <v>累计充值30000钻即可获得奖励</v>
      </c>
      <c r="G15" s="199" t="s">
        <v>660</v>
      </c>
      <c r="H15" s="207" t="s">
        <v>1196</v>
      </c>
      <c r="I15" s="207" t="s">
        <v>1196</v>
      </c>
      <c r="J15" s="207" t="s">
        <v>1197</v>
      </c>
      <c r="K15" s="207" t="s">
        <v>1197</v>
      </c>
      <c r="L15" s="207"/>
      <c r="M15" s="207" t="s">
        <v>61</v>
      </c>
      <c r="N15" s="207" t="s">
        <v>62</v>
      </c>
      <c r="O15" s="201" t="s">
        <v>63</v>
      </c>
      <c r="P15" s="201" t="s">
        <v>64</v>
      </c>
      <c r="Q15" s="207" t="s">
        <v>617</v>
      </c>
      <c r="R15" s="210"/>
      <c r="S15" s="207"/>
      <c r="T15" s="201"/>
      <c r="U15" s="201">
        <v>1</v>
      </c>
      <c r="V15" s="201">
        <v>0</v>
      </c>
      <c r="W15" s="201"/>
      <c r="X15" s="201" t="s">
        <v>65</v>
      </c>
      <c r="Y15" s="201"/>
      <c r="Z15" s="201"/>
      <c r="AA15" s="201"/>
      <c r="AB15" s="200" t="str">
        <f t="shared" si="0"/>
        <v>;;;;;;;3020224:2|3090600:6|6080001:10|4011000:25|4013000:25|4015000:25|4016000:25|1091503:1|1092503:1|1093503:1|1094503:1|1095503:1|1096503:1;;</v>
      </c>
      <c r="AC15" s="234">
        <v>30000</v>
      </c>
      <c r="AD15" s="235"/>
      <c r="AE15" s="235"/>
      <c r="AF15" s="235"/>
      <c r="AG15" s="235"/>
      <c r="AH15" s="235"/>
      <c r="AI15" s="234">
        <v>30000</v>
      </c>
      <c r="AJ15" s="235"/>
      <c r="AK15" s="235"/>
      <c r="AL15" s="235"/>
      <c r="AM15" s="235"/>
      <c r="AN15" s="235"/>
      <c r="AO15" s="235"/>
      <c r="AP15" s="235"/>
      <c r="AQ15" s="235"/>
      <c r="AR15" s="235"/>
      <c r="AS15" s="235"/>
      <c r="AT15" s="235"/>
      <c r="AU15" s="235"/>
      <c r="AV15" s="235"/>
      <c r="AW15" s="236"/>
      <c r="AX15" s="236"/>
      <c r="AY15" s="236"/>
      <c r="AZ15" s="236"/>
      <c r="BA15" s="236"/>
      <c r="BB15" s="236"/>
      <c r="BC15" s="236"/>
      <c r="BD15" s="237" t="s">
        <v>1130</v>
      </c>
      <c r="BE15" s="235"/>
      <c r="BF15" s="235"/>
      <c r="BG15" s="201" t="s">
        <v>619</v>
      </c>
      <c r="BH15" s="201"/>
      <c r="BI15" s="124"/>
    </row>
    <row r="16" spans="1:61" s="180" customFormat="1" ht="20.100000000000001" customHeight="1">
      <c r="A16" s="195" t="s">
        <v>1078</v>
      </c>
      <c r="B16" s="168">
        <v>1</v>
      </c>
      <c r="C16" s="168">
        <v>2</v>
      </c>
      <c r="D16" s="169" t="s">
        <v>658</v>
      </c>
      <c r="E16" s="167" t="s">
        <v>659</v>
      </c>
      <c r="F16" s="189" t="str">
        <f>"累计充值"&amp;AC16&amp;"钻即可获得奖励"</f>
        <v>累计充值1000钻即可获得奖励</v>
      </c>
      <c r="G16" s="171" t="s">
        <v>660</v>
      </c>
      <c r="H16" s="167" t="s">
        <v>1198</v>
      </c>
      <c r="I16" s="167" t="s">
        <v>1198</v>
      </c>
      <c r="J16" s="167" t="s">
        <v>1199</v>
      </c>
      <c r="K16" s="167" t="s">
        <v>1200</v>
      </c>
      <c r="L16" s="167"/>
      <c r="M16" s="167" t="s">
        <v>61</v>
      </c>
      <c r="N16" s="167" t="s">
        <v>62</v>
      </c>
      <c r="O16" s="168" t="s">
        <v>63</v>
      </c>
      <c r="P16" s="168" t="s">
        <v>64</v>
      </c>
      <c r="Q16" s="167" t="s">
        <v>288</v>
      </c>
      <c r="R16" s="173"/>
      <c r="S16" s="167"/>
      <c r="T16" s="168"/>
      <c r="U16" s="168">
        <v>1</v>
      </c>
      <c r="V16" s="168">
        <v>0</v>
      </c>
      <c r="W16" s="168"/>
      <c r="X16" s="168" t="s">
        <v>65</v>
      </c>
      <c r="Y16" s="168"/>
      <c r="Z16" s="168"/>
      <c r="AA16" s="168"/>
      <c r="AB16" s="189" t="str">
        <f t="shared" ref="AB16:AB27" si="2">CONCATENATE(AW16,BG16,AX16,BG16,AY16,BG16,AZ16,BG16,BA16,BG16,BB16,BG16,BC16,BG16,BD16,BG16,BE16,BG16,BF16)</f>
        <v>500000;;;;;;;3090200:200|4011000:3|4013000:3|4015000:3|4016000:3;;</v>
      </c>
      <c r="AC16" s="196">
        <v>1000</v>
      </c>
      <c r="AD16" s="197"/>
      <c r="AE16" s="197"/>
      <c r="AF16" s="197"/>
      <c r="AG16" s="197"/>
      <c r="AH16" s="197"/>
      <c r="AI16" s="196">
        <v>1000</v>
      </c>
      <c r="AJ16" s="197"/>
      <c r="AK16" s="197"/>
      <c r="AL16" s="197"/>
      <c r="AM16" s="197"/>
      <c r="AN16" s="197"/>
      <c r="AO16" s="197"/>
      <c r="AP16" s="197"/>
      <c r="AQ16" s="197"/>
      <c r="AR16" s="197"/>
      <c r="AS16" s="197"/>
      <c r="AT16" s="197"/>
      <c r="AU16" s="197"/>
      <c r="AV16" s="197"/>
      <c r="AW16" s="178" t="s">
        <v>1074</v>
      </c>
      <c r="AX16" s="178"/>
      <c r="AY16" s="178"/>
      <c r="AZ16" s="178"/>
      <c r="BA16" s="178"/>
      <c r="BB16" s="178"/>
      <c r="BC16" s="178"/>
      <c r="BD16" s="181" t="s">
        <v>1075</v>
      </c>
      <c r="BE16" s="197"/>
      <c r="BF16" s="197"/>
      <c r="BG16" s="168" t="s">
        <v>619</v>
      </c>
      <c r="BH16" s="168"/>
      <c r="BI16" s="198"/>
    </row>
    <row r="17" spans="1:61" s="180" customFormat="1" ht="20.100000000000001" customHeight="1">
      <c r="A17" s="195" t="s">
        <v>1079</v>
      </c>
      <c r="B17" s="168">
        <v>1</v>
      </c>
      <c r="C17" s="168">
        <v>2</v>
      </c>
      <c r="D17" s="169" t="s">
        <v>658</v>
      </c>
      <c r="E17" s="167" t="s">
        <v>661</v>
      </c>
      <c r="F17" s="189" t="str">
        <f t="shared" ref="F17:F21" si="3">"累计充值"&amp;AC17&amp;"钻即可获得奖励"</f>
        <v>累计充值2000钻即可获得奖励</v>
      </c>
      <c r="G17" s="171" t="s">
        <v>660</v>
      </c>
      <c r="H17" s="167" t="s">
        <v>1198</v>
      </c>
      <c r="I17" s="167" t="s">
        <v>1198</v>
      </c>
      <c r="J17" s="167" t="s">
        <v>1199</v>
      </c>
      <c r="K17" s="167" t="s">
        <v>1200</v>
      </c>
      <c r="L17" s="167"/>
      <c r="M17" s="167" t="s">
        <v>61</v>
      </c>
      <c r="N17" s="167" t="s">
        <v>62</v>
      </c>
      <c r="O17" s="168" t="s">
        <v>63</v>
      </c>
      <c r="P17" s="168" t="s">
        <v>64</v>
      </c>
      <c r="Q17" s="167" t="s">
        <v>288</v>
      </c>
      <c r="R17" s="173"/>
      <c r="S17" s="167"/>
      <c r="T17" s="168"/>
      <c r="U17" s="168">
        <v>1</v>
      </c>
      <c r="V17" s="168">
        <v>0</v>
      </c>
      <c r="W17" s="168"/>
      <c r="X17" s="168" t="s">
        <v>65</v>
      </c>
      <c r="Y17" s="168"/>
      <c r="Z17" s="168"/>
      <c r="AA17" s="168"/>
      <c r="AB17" s="189" t="str">
        <f t="shared" si="2"/>
        <v>;;;;;;;3090400:100|4011000:5|4013000:5|4015000:5|4016000:5|4080005:10;;</v>
      </c>
      <c r="AC17" s="196">
        <v>2000</v>
      </c>
      <c r="AD17" s="197"/>
      <c r="AE17" s="197"/>
      <c r="AF17" s="197"/>
      <c r="AG17" s="197"/>
      <c r="AH17" s="197"/>
      <c r="AI17" s="196">
        <v>2000</v>
      </c>
      <c r="AJ17" s="197"/>
      <c r="AK17" s="197"/>
      <c r="AL17" s="197"/>
      <c r="AM17" s="197"/>
      <c r="AN17" s="197"/>
      <c r="AO17" s="197"/>
      <c r="AP17" s="197"/>
      <c r="AQ17" s="197"/>
      <c r="AR17" s="197"/>
      <c r="AS17" s="197"/>
      <c r="AT17" s="197"/>
      <c r="AU17" s="197"/>
      <c r="AV17" s="197"/>
      <c r="AW17" s="178"/>
      <c r="AX17" s="178"/>
      <c r="AY17" s="178"/>
      <c r="AZ17" s="178"/>
      <c r="BA17" s="178"/>
      <c r="BB17" s="178"/>
      <c r="BC17" s="178"/>
      <c r="BD17" s="181" t="s">
        <v>1131</v>
      </c>
      <c r="BE17" s="197"/>
      <c r="BF17" s="197"/>
      <c r="BG17" s="168" t="s">
        <v>619</v>
      </c>
      <c r="BH17" s="168"/>
      <c r="BI17" s="198"/>
    </row>
    <row r="18" spans="1:61" s="180" customFormat="1" ht="20.100000000000001" customHeight="1">
      <c r="A18" s="195" t="s">
        <v>1080</v>
      </c>
      <c r="B18" s="168">
        <v>1</v>
      </c>
      <c r="C18" s="168">
        <v>2</v>
      </c>
      <c r="D18" s="169" t="s">
        <v>658</v>
      </c>
      <c r="E18" s="167" t="s">
        <v>662</v>
      </c>
      <c r="F18" s="189" t="str">
        <f t="shared" si="3"/>
        <v>累计充值6000钻即可获得奖励</v>
      </c>
      <c r="G18" s="171" t="s">
        <v>660</v>
      </c>
      <c r="H18" s="167" t="s">
        <v>1198</v>
      </c>
      <c r="I18" s="167" t="s">
        <v>1198</v>
      </c>
      <c r="J18" s="167" t="s">
        <v>1199</v>
      </c>
      <c r="K18" s="167" t="s">
        <v>1200</v>
      </c>
      <c r="L18" s="167"/>
      <c r="M18" s="167" t="s">
        <v>61</v>
      </c>
      <c r="N18" s="167" t="s">
        <v>62</v>
      </c>
      <c r="O18" s="168" t="s">
        <v>63</v>
      </c>
      <c r="P18" s="168" t="s">
        <v>64</v>
      </c>
      <c r="Q18" s="167" t="s">
        <v>288</v>
      </c>
      <c r="R18" s="173"/>
      <c r="S18" s="167"/>
      <c r="T18" s="168"/>
      <c r="U18" s="168">
        <v>1</v>
      </c>
      <c r="V18" s="168">
        <v>0</v>
      </c>
      <c r="W18" s="168"/>
      <c r="X18" s="168" t="s">
        <v>65</v>
      </c>
      <c r="Y18" s="168"/>
      <c r="Z18" s="168"/>
      <c r="AA18" s="168"/>
      <c r="AB18" s="189" t="str">
        <f t="shared" si="2"/>
        <v>;;;;;;;3020124:1|6080001:5|4011000:10|4013000:10|4015000:10|4016000:10|4080001:10;;</v>
      </c>
      <c r="AC18" s="196">
        <v>6000</v>
      </c>
      <c r="AD18" s="197"/>
      <c r="AE18" s="197"/>
      <c r="AF18" s="197"/>
      <c r="AG18" s="197"/>
      <c r="AH18" s="197"/>
      <c r="AI18" s="196">
        <v>6000</v>
      </c>
      <c r="AJ18" s="197"/>
      <c r="AK18" s="197"/>
      <c r="AL18" s="197"/>
      <c r="AM18" s="197"/>
      <c r="AN18" s="197"/>
      <c r="AO18" s="197"/>
      <c r="AP18" s="197"/>
      <c r="AQ18" s="197"/>
      <c r="AR18" s="197"/>
      <c r="AS18" s="197"/>
      <c r="AT18" s="197"/>
      <c r="AU18" s="197"/>
      <c r="AV18" s="197"/>
      <c r="AW18" s="178"/>
      <c r="AX18" s="178"/>
      <c r="AY18" s="178"/>
      <c r="AZ18" s="178"/>
      <c r="BA18" s="178"/>
      <c r="BB18" s="178"/>
      <c r="BC18" s="178"/>
      <c r="BD18" s="181" t="s">
        <v>1132</v>
      </c>
      <c r="BE18" s="197"/>
      <c r="BF18" s="197"/>
      <c r="BG18" s="168" t="s">
        <v>619</v>
      </c>
      <c r="BH18" s="168"/>
      <c r="BI18" s="198"/>
    </row>
    <row r="19" spans="1:61" s="180" customFormat="1" ht="20.100000000000001" customHeight="1">
      <c r="A19" s="195" t="s">
        <v>1081</v>
      </c>
      <c r="B19" s="168">
        <v>1</v>
      </c>
      <c r="C19" s="168">
        <v>2</v>
      </c>
      <c r="D19" s="169" t="s">
        <v>658</v>
      </c>
      <c r="E19" s="167" t="s">
        <v>663</v>
      </c>
      <c r="F19" s="189" t="str">
        <f t="shared" si="3"/>
        <v>累计充值12000钻即可获得奖励</v>
      </c>
      <c r="G19" s="171" t="s">
        <v>660</v>
      </c>
      <c r="H19" s="167" t="s">
        <v>1198</v>
      </c>
      <c r="I19" s="167" t="s">
        <v>1198</v>
      </c>
      <c r="J19" s="167" t="s">
        <v>1199</v>
      </c>
      <c r="K19" s="167" t="s">
        <v>1200</v>
      </c>
      <c r="L19" s="167"/>
      <c r="M19" s="167" t="s">
        <v>61</v>
      </c>
      <c r="N19" s="167" t="s">
        <v>62</v>
      </c>
      <c r="O19" s="168" t="s">
        <v>63</v>
      </c>
      <c r="P19" s="168" t="s">
        <v>64</v>
      </c>
      <c r="Q19" s="167" t="s">
        <v>288</v>
      </c>
      <c r="R19" s="173"/>
      <c r="S19" s="167"/>
      <c r="T19" s="168"/>
      <c r="U19" s="168">
        <v>1</v>
      </c>
      <c r="V19" s="168">
        <v>0</v>
      </c>
      <c r="W19" s="168"/>
      <c r="X19" s="168" t="s">
        <v>65</v>
      </c>
      <c r="Y19" s="168"/>
      <c r="Z19" s="168"/>
      <c r="AA19" s="168"/>
      <c r="AB19" s="189" t="str">
        <f t="shared" si="2"/>
        <v>;;;;;;;3020124:5|3090600:2|6080001:10|4011000:15|4013000:15|4015000:15|4016000:15|4080002:10;;</v>
      </c>
      <c r="AC19" s="196">
        <v>12000</v>
      </c>
      <c r="AD19" s="197"/>
      <c r="AE19" s="197"/>
      <c r="AF19" s="197"/>
      <c r="AG19" s="197"/>
      <c r="AH19" s="197"/>
      <c r="AI19" s="196">
        <v>12000</v>
      </c>
      <c r="AJ19" s="197"/>
      <c r="AK19" s="197"/>
      <c r="AL19" s="197"/>
      <c r="AM19" s="197"/>
      <c r="AN19" s="197"/>
      <c r="AO19" s="197"/>
      <c r="AP19" s="197"/>
      <c r="AQ19" s="197"/>
      <c r="AR19" s="197"/>
      <c r="AS19" s="197"/>
      <c r="AT19" s="197"/>
      <c r="AU19" s="197"/>
      <c r="AV19" s="197"/>
      <c r="AW19" s="178"/>
      <c r="AX19" s="178"/>
      <c r="AY19" s="178"/>
      <c r="AZ19" s="178"/>
      <c r="BA19" s="178"/>
      <c r="BB19" s="178"/>
      <c r="BC19" s="178"/>
      <c r="BD19" s="181" t="s">
        <v>1133</v>
      </c>
      <c r="BE19" s="197"/>
      <c r="BF19" s="197"/>
      <c r="BG19" s="168" t="s">
        <v>619</v>
      </c>
      <c r="BH19" s="168"/>
      <c r="BI19" s="198"/>
    </row>
    <row r="20" spans="1:61" s="180" customFormat="1" ht="20.100000000000001" customHeight="1">
      <c r="A20" s="195" t="s">
        <v>1082</v>
      </c>
      <c r="B20" s="168">
        <v>1</v>
      </c>
      <c r="C20" s="168">
        <v>2</v>
      </c>
      <c r="D20" s="169" t="s">
        <v>658</v>
      </c>
      <c r="E20" s="167" t="s">
        <v>664</v>
      </c>
      <c r="F20" s="189" t="str">
        <f t="shared" si="3"/>
        <v>累计充值20000钻即可获得奖励</v>
      </c>
      <c r="G20" s="171" t="s">
        <v>660</v>
      </c>
      <c r="H20" s="167" t="s">
        <v>1198</v>
      </c>
      <c r="I20" s="167" t="s">
        <v>1198</v>
      </c>
      <c r="J20" s="167" t="s">
        <v>1199</v>
      </c>
      <c r="K20" s="167" t="s">
        <v>1200</v>
      </c>
      <c r="L20" s="167"/>
      <c r="M20" s="167" t="s">
        <v>61</v>
      </c>
      <c r="N20" s="167" t="s">
        <v>62</v>
      </c>
      <c r="O20" s="168" t="s">
        <v>63</v>
      </c>
      <c r="P20" s="168" t="s">
        <v>64</v>
      </c>
      <c r="Q20" s="167" t="s">
        <v>288</v>
      </c>
      <c r="R20" s="173"/>
      <c r="S20" s="167"/>
      <c r="T20" s="168"/>
      <c r="U20" s="168">
        <v>1</v>
      </c>
      <c r="V20" s="168">
        <v>0</v>
      </c>
      <c r="W20" s="168"/>
      <c r="X20" s="168" t="s">
        <v>65</v>
      </c>
      <c r="Y20" s="168"/>
      <c r="Z20" s="168"/>
      <c r="AA20" s="168"/>
      <c r="AB20" s="189" t="str">
        <f t="shared" si="2"/>
        <v>;;;;;;;3020224:1|3090600:4|6080001:10|4011000:20|4013000:20|4015000:20|4016000:20|4080003:10;;</v>
      </c>
      <c r="AC20" s="196">
        <v>20000</v>
      </c>
      <c r="AD20" s="197"/>
      <c r="AE20" s="197"/>
      <c r="AF20" s="197"/>
      <c r="AG20" s="197"/>
      <c r="AH20" s="197"/>
      <c r="AI20" s="196">
        <v>20000</v>
      </c>
      <c r="AJ20" s="197"/>
      <c r="AK20" s="197"/>
      <c r="AL20" s="197"/>
      <c r="AM20" s="197"/>
      <c r="AN20" s="197"/>
      <c r="AO20" s="197"/>
      <c r="AP20" s="197"/>
      <c r="AQ20" s="197"/>
      <c r="AR20" s="197"/>
      <c r="AS20" s="197"/>
      <c r="AT20" s="197"/>
      <c r="AU20" s="197"/>
      <c r="AV20" s="197"/>
      <c r="AW20" s="178"/>
      <c r="AX20" s="178"/>
      <c r="AY20" s="178"/>
      <c r="AZ20" s="178"/>
      <c r="BA20" s="178"/>
      <c r="BB20" s="178"/>
      <c r="BC20" s="178"/>
      <c r="BD20" s="181" t="s">
        <v>1134</v>
      </c>
      <c r="BE20" s="197"/>
      <c r="BF20" s="197"/>
      <c r="BG20" s="168" t="s">
        <v>619</v>
      </c>
      <c r="BH20" s="168"/>
      <c r="BI20" s="198"/>
    </row>
    <row r="21" spans="1:61" s="180" customFormat="1" ht="20.100000000000001" customHeight="1">
      <c r="A21" s="195" t="s">
        <v>1083</v>
      </c>
      <c r="B21" s="168">
        <v>1</v>
      </c>
      <c r="C21" s="168">
        <v>2</v>
      </c>
      <c r="D21" s="169" t="s">
        <v>658</v>
      </c>
      <c r="E21" s="167" t="s">
        <v>665</v>
      </c>
      <c r="F21" s="189" t="str">
        <f t="shared" si="3"/>
        <v>累计充值30000钻即可获得奖励</v>
      </c>
      <c r="G21" s="171" t="s">
        <v>660</v>
      </c>
      <c r="H21" s="167" t="s">
        <v>1198</v>
      </c>
      <c r="I21" s="167" t="s">
        <v>1198</v>
      </c>
      <c r="J21" s="167" t="s">
        <v>1199</v>
      </c>
      <c r="K21" s="167" t="s">
        <v>1200</v>
      </c>
      <c r="L21" s="167"/>
      <c r="M21" s="167" t="s">
        <v>61</v>
      </c>
      <c r="N21" s="167" t="s">
        <v>62</v>
      </c>
      <c r="O21" s="168" t="s">
        <v>63</v>
      </c>
      <c r="P21" s="168" t="s">
        <v>64</v>
      </c>
      <c r="Q21" s="167" t="s">
        <v>288</v>
      </c>
      <c r="R21" s="173"/>
      <c r="S21" s="167"/>
      <c r="T21" s="168"/>
      <c r="U21" s="168">
        <v>1</v>
      </c>
      <c r="V21" s="168">
        <v>0</v>
      </c>
      <c r="W21" s="168"/>
      <c r="X21" s="168" t="s">
        <v>65</v>
      </c>
      <c r="Y21" s="168"/>
      <c r="Z21" s="168"/>
      <c r="AA21" s="168"/>
      <c r="AB21" s="189" t="str">
        <f t="shared" si="2"/>
        <v>;;;;;;;3020224:2|3090600:6|6080001:10|4011000:25|4013000:25|4015000:25|4016000:25|4080004:10;;</v>
      </c>
      <c r="AC21" s="196">
        <v>30000</v>
      </c>
      <c r="AD21" s="197"/>
      <c r="AE21" s="197"/>
      <c r="AF21" s="197"/>
      <c r="AG21" s="197"/>
      <c r="AH21" s="197"/>
      <c r="AI21" s="196">
        <v>30000</v>
      </c>
      <c r="AJ21" s="197"/>
      <c r="AK21" s="197"/>
      <c r="AL21" s="197"/>
      <c r="AM21" s="197"/>
      <c r="AN21" s="197"/>
      <c r="AO21" s="197"/>
      <c r="AP21" s="197"/>
      <c r="AQ21" s="197"/>
      <c r="AR21" s="197"/>
      <c r="AS21" s="197"/>
      <c r="AT21" s="197"/>
      <c r="AU21" s="197"/>
      <c r="AV21" s="197"/>
      <c r="AW21" s="178"/>
      <c r="AX21" s="178"/>
      <c r="AY21" s="178"/>
      <c r="AZ21" s="178"/>
      <c r="BA21" s="178"/>
      <c r="BB21" s="178"/>
      <c r="BC21" s="178"/>
      <c r="BD21" s="181" t="s">
        <v>1135</v>
      </c>
      <c r="BE21" s="197"/>
      <c r="BF21" s="197"/>
      <c r="BG21" s="168" t="s">
        <v>619</v>
      </c>
      <c r="BH21" s="168"/>
      <c r="BI21" s="198"/>
    </row>
    <row r="22" spans="1:61" s="202" customFormat="1" ht="20.100000000000001" customHeight="1">
      <c r="A22" s="39" t="s">
        <v>1140</v>
      </c>
      <c r="B22" s="201">
        <v>1</v>
      </c>
      <c r="C22" s="201">
        <v>2</v>
      </c>
      <c r="D22" s="208" t="s">
        <v>658</v>
      </c>
      <c r="E22" s="207" t="s">
        <v>659</v>
      </c>
      <c r="F22" s="200" t="str">
        <f>"累计充值"&amp;AC22&amp;"钻即可获得奖励"</f>
        <v>累计充值1000钻即可获得奖励</v>
      </c>
      <c r="G22" s="199" t="s">
        <v>660</v>
      </c>
      <c r="H22" s="207" t="s">
        <v>1201</v>
      </c>
      <c r="I22" s="207" t="s">
        <v>1201</v>
      </c>
      <c r="J22" s="207" t="s">
        <v>1202</v>
      </c>
      <c r="K22" s="207" t="s">
        <v>1202</v>
      </c>
      <c r="L22" s="207"/>
      <c r="M22" s="207" t="s">
        <v>61</v>
      </c>
      <c r="N22" s="207" t="s">
        <v>62</v>
      </c>
      <c r="O22" s="201" t="s">
        <v>63</v>
      </c>
      <c r="P22" s="201" t="s">
        <v>64</v>
      </c>
      <c r="Q22" s="207" t="s">
        <v>273</v>
      </c>
      <c r="R22" s="210"/>
      <c r="S22" s="207"/>
      <c r="T22" s="201"/>
      <c r="U22" s="201">
        <v>1</v>
      </c>
      <c r="V22" s="201">
        <v>0</v>
      </c>
      <c r="W22" s="201"/>
      <c r="X22" s="201" t="s">
        <v>65</v>
      </c>
      <c r="Y22" s="201"/>
      <c r="Z22" s="201"/>
      <c r="AA22" s="201"/>
      <c r="AB22" s="200" t="str">
        <f t="shared" si="2"/>
        <v>500000;;;;;;;3090200:200|4011000:3|4013000:3|4015000:3|4016000:3;;</v>
      </c>
      <c r="AC22" s="234">
        <v>1000</v>
      </c>
      <c r="AD22" s="235"/>
      <c r="AE22" s="235"/>
      <c r="AF22" s="235"/>
      <c r="AG22" s="235"/>
      <c r="AH22" s="235"/>
      <c r="AI22" s="234">
        <v>1000</v>
      </c>
      <c r="AJ22" s="235"/>
      <c r="AK22" s="235"/>
      <c r="AL22" s="235"/>
      <c r="AM22" s="235"/>
      <c r="AN22" s="235"/>
      <c r="AO22" s="235"/>
      <c r="AP22" s="235"/>
      <c r="AQ22" s="235"/>
      <c r="AR22" s="235"/>
      <c r="AS22" s="235"/>
      <c r="AT22" s="235"/>
      <c r="AU22" s="235"/>
      <c r="AV22" s="235"/>
      <c r="AW22" s="236" t="s">
        <v>1074</v>
      </c>
      <c r="AX22" s="236"/>
      <c r="AY22" s="236"/>
      <c r="AZ22" s="236"/>
      <c r="BA22" s="236"/>
      <c r="BB22" s="236"/>
      <c r="BC22" s="236"/>
      <c r="BD22" s="237" t="s">
        <v>1075</v>
      </c>
      <c r="BE22" s="235"/>
      <c r="BF22" s="235"/>
      <c r="BG22" s="201" t="s">
        <v>619</v>
      </c>
      <c r="BH22" s="201"/>
      <c r="BI22" s="124"/>
    </row>
    <row r="23" spans="1:61" s="202" customFormat="1" ht="20.100000000000001" customHeight="1">
      <c r="A23" s="39" t="s">
        <v>1141</v>
      </c>
      <c r="B23" s="201">
        <v>1</v>
      </c>
      <c r="C23" s="201">
        <v>2</v>
      </c>
      <c r="D23" s="208" t="s">
        <v>658</v>
      </c>
      <c r="E23" s="207" t="s">
        <v>661</v>
      </c>
      <c r="F23" s="200" t="str">
        <f t="shared" ref="F23:F27" si="4">"累计充值"&amp;AC23&amp;"钻即可获得奖励"</f>
        <v>累计充值2000钻即可获得奖励</v>
      </c>
      <c r="G23" s="199" t="s">
        <v>660</v>
      </c>
      <c r="H23" s="207" t="s">
        <v>1201</v>
      </c>
      <c r="I23" s="207" t="s">
        <v>1201</v>
      </c>
      <c r="J23" s="207" t="s">
        <v>1202</v>
      </c>
      <c r="K23" s="207" t="s">
        <v>1202</v>
      </c>
      <c r="L23" s="207"/>
      <c r="M23" s="207" t="s">
        <v>61</v>
      </c>
      <c r="N23" s="207" t="s">
        <v>62</v>
      </c>
      <c r="O23" s="201" t="s">
        <v>63</v>
      </c>
      <c r="P23" s="201" t="s">
        <v>64</v>
      </c>
      <c r="Q23" s="207" t="s">
        <v>273</v>
      </c>
      <c r="R23" s="210"/>
      <c r="S23" s="207"/>
      <c r="T23" s="201"/>
      <c r="U23" s="201">
        <v>1</v>
      </c>
      <c r="V23" s="201">
        <v>0</v>
      </c>
      <c r="W23" s="201"/>
      <c r="X23" s="201" t="s">
        <v>65</v>
      </c>
      <c r="Y23" s="201"/>
      <c r="Z23" s="201"/>
      <c r="AA23" s="201"/>
      <c r="AB23" s="200" t="str">
        <f t="shared" si="2"/>
        <v>;;;;;;;3090400:100|4011000:5|4013000:5|4015000:5|4016000:5|4080005:10;;</v>
      </c>
      <c r="AC23" s="234">
        <v>2000</v>
      </c>
      <c r="AD23" s="235"/>
      <c r="AE23" s="235"/>
      <c r="AF23" s="235"/>
      <c r="AG23" s="235"/>
      <c r="AH23" s="235"/>
      <c r="AI23" s="234">
        <v>2000</v>
      </c>
      <c r="AJ23" s="235"/>
      <c r="AK23" s="235"/>
      <c r="AL23" s="235"/>
      <c r="AM23" s="235"/>
      <c r="AN23" s="235"/>
      <c r="AO23" s="235"/>
      <c r="AP23" s="235"/>
      <c r="AQ23" s="235"/>
      <c r="AR23" s="235"/>
      <c r="AS23" s="235"/>
      <c r="AT23" s="235"/>
      <c r="AU23" s="235"/>
      <c r="AV23" s="235"/>
      <c r="AW23" s="236"/>
      <c r="AX23" s="236"/>
      <c r="AY23" s="236"/>
      <c r="AZ23" s="236"/>
      <c r="BA23" s="236"/>
      <c r="BB23" s="236"/>
      <c r="BC23" s="236"/>
      <c r="BD23" s="237" t="s">
        <v>1076</v>
      </c>
      <c r="BE23" s="235"/>
      <c r="BF23" s="235"/>
      <c r="BG23" s="201" t="s">
        <v>619</v>
      </c>
      <c r="BH23" s="201"/>
      <c r="BI23" s="124"/>
    </row>
    <row r="24" spans="1:61" s="202" customFormat="1" ht="20.100000000000001" customHeight="1">
      <c r="A24" s="39" t="s">
        <v>1142</v>
      </c>
      <c r="B24" s="201">
        <v>1</v>
      </c>
      <c r="C24" s="201">
        <v>2</v>
      </c>
      <c r="D24" s="208" t="s">
        <v>658</v>
      </c>
      <c r="E24" s="207" t="s">
        <v>662</v>
      </c>
      <c r="F24" s="200" t="str">
        <f t="shared" si="4"/>
        <v>累计充值6000钻即可获得奖励</v>
      </c>
      <c r="G24" s="199" t="s">
        <v>660</v>
      </c>
      <c r="H24" s="207" t="s">
        <v>1201</v>
      </c>
      <c r="I24" s="207" t="s">
        <v>1201</v>
      </c>
      <c r="J24" s="207" t="s">
        <v>1202</v>
      </c>
      <c r="K24" s="207" t="s">
        <v>1202</v>
      </c>
      <c r="L24" s="207"/>
      <c r="M24" s="207" t="s">
        <v>61</v>
      </c>
      <c r="N24" s="207" t="s">
        <v>62</v>
      </c>
      <c r="O24" s="201" t="s">
        <v>63</v>
      </c>
      <c r="P24" s="201" t="s">
        <v>64</v>
      </c>
      <c r="Q24" s="207" t="s">
        <v>273</v>
      </c>
      <c r="R24" s="210"/>
      <c r="S24" s="207"/>
      <c r="T24" s="201"/>
      <c r="U24" s="201">
        <v>1</v>
      </c>
      <c r="V24" s="201">
        <v>0</v>
      </c>
      <c r="W24" s="201"/>
      <c r="X24" s="201" t="s">
        <v>65</v>
      </c>
      <c r="Y24" s="201"/>
      <c r="Z24" s="201"/>
      <c r="AA24" s="201"/>
      <c r="AB24" s="200" t="str">
        <f t="shared" si="2"/>
        <v>;;;;;;;3020124:1|6080001:5|4011000:10|4013000:10|4015000:10|4016000:10|1091402:1|1092402:1|1093402:1|1094402:1|1095402:1|1096402:1;;</v>
      </c>
      <c r="AC24" s="234">
        <v>6000</v>
      </c>
      <c r="AD24" s="235"/>
      <c r="AE24" s="235"/>
      <c r="AF24" s="235"/>
      <c r="AG24" s="235"/>
      <c r="AH24" s="235"/>
      <c r="AI24" s="234">
        <v>6000</v>
      </c>
      <c r="AJ24" s="235"/>
      <c r="AK24" s="235"/>
      <c r="AL24" s="235"/>
      <c r="AM24" s="235"/>
      <c r="AN24" s="235"/>
      <c r="AO24" s="235"/>
      <c r="AP24" s="235"/>
      <c r="AQ24" s="235"/>
      <c r="AR24" s="235"/>
      <c r="AS24" s="235"/>
      <c r="AT24" s="235"/>
      <c r="AU24" s="235"/>
      <c r="AV24" s="235"/>
      <c r="AW24" s="236"/>
      <c r="AX24" s="236"/>
      <c r="AY24" s="236"/>
      <c r="AZ24" s="236"/>
      <c r="BA24" s="236"/>
      <c r="BB24" s="236"/>
      <c r="BC24" s="236"/>
      <c r="BD24" s="237" t="s">
        <v>1077</v>
      </c>
      <c r="BE24" s="235"/>
      <c r="BF24" s="235"/>
      <c r="BG24" s="201" t="s">
        <v>619</v>
      </c>
      <c r="BH24" s="201"/>
      <c r="BI24" s="124"/>
    </row>
    <row r="25" spans="1:61" s="202" customFormat="1" ht="20.100000000000001" customHeight="1">
      <c r="A25" s="39" t="s">
        <v>1143</v>
      </c>
      <c r="B25" s="201">
        <v>1</v>
      </c>
      <c r="C25" s="201">
        <v>2</v>
      </c>
      <c r="D25" s="208" t="s">
        <v>658</v>
      </c>
      <c r="E25" s="207" t="s">
        <v>663</v>
      </c>
      <c r="F25" s="200" t="str">
        <f t="shared" si="4"/>
        <v>累计充值12000钻即可获得奖励</v>
      </c>
      <c r="G25" s="199" t="s">
        <v>660</v>
      </c>
      <c r="H25" s="207" t="s">
        <v>1201</v>
      </c>
      <c r="I25" s="207" t="s">
        <v>1201</v>
      </c>
      <c r="J25" s="207" t="s">
        <v>1202</v>
      </c>
      <c r="K25" s="207" t="s">
        <v>1202</v>
      </c>
      <c r="L25" s="207"/>
      <c r="M25" s="207" t="s">
        <v>61</v>
      </c>
      <c r="N25" s="207" t="s">
        <v>62</v>
      </c>
      <c r="O25" s="201" t="s">
        <v>63</v>
      </c>
      <c r="P25" s="201" t="s">
        <v>64</v>
      </c>
      <c r="Q25" s="207" t="s">
        <v>273</v>
      </c>
      <c r="R25" s="210"/>
      <c r="S25" s="207"/>
      <c r="T25" s="201"/>
      <c r="U25" s="201">
        <v>1</v>
      </c>
      <c r="V25" s="201">
        <v>0</v>
      </c>
      <c r="W25" s="201"/>
      <c r="X25" s="201" t="s">
        <v>65</v>
      </c>
      <c r="Y25" s="201"/>
      <c r="Z25" s="201"/>
      <c r="AA25" s="201"/>
      <c r="AB25" s="200" t="str">
        <f t="shared" si="2"/>
        <v>;;;;;;;3020124:5|3090600:2|6080001:10|4011000:15|4013000:15|4015000:15|4016000:15|1091501:1|1092501:1|1093501:1|1094501:1|1095501:1|1096501:1;;</v>
      </c>
      <c r="AC25" s="234">
        <v>12000</v>
      </c>
      <c r="AD25" s="235"/>
      <c r="AE25" s="235"/>
      <c r="AF25" s="235"/>
      <c r="AG25" s="235"/>
      <c r="AH25" s="235"/>
      <c r="AI25" s="234">
        <v>12000</v>
      </c>
      <c r="AJ25" s="235"/>
      <c r="AK25" s="235"/>
      <c r="AL25" s="235"/>
      <c r="AM25" s="235"/>
      <c r="AN25" s="235"/>
      <c r="AO25" s="235"/>
      <c r="AP25" s="235"/>
      <c r="AQ25" s="235"/>
      <c r="AR25" s="235"/>
      <c r="AS25" s="235"/>
      <c r="AT25" s="235"/>
      <c r="AU25" s="235"/>
      <c r="AV25" s="235"/>
      <c r="AW25" s="236"/>
      <c r="AX25" s="236"/>
      <c r="AY25" s="236"/>
      <c r="AZ25" s="236"/>
      <c r="BA25" s="236"/>
      <c r="BB25" s="236"/>
      <c r="BC25" s="236"/>
      <c r="BD25" s="237" t="s">
        <v>1128</v>
      </c>
      <c r="BE25" s="235"/>
      <c r="BF25" s="235"/>
      <c r="BG25" s="201" t="s">
        <v>619</v>
      </c>
      <c r="BH25" s="201"/>
      <c r="BI25" s="124"/>
    </row>
    <row r="26" spans="1:61" s="202" customFormat="1" ht="20.100000000000001" customHeight="1">
      <c r="A26" s="39" t="s">
        <v>1144</v>
      </c>
      <c r="B26" s="201">
        <v>1</v>
      </c>
      <c r="C26" s="201">
        <v>2</v>
      </c>
      <c r="D26" s="208" t="s">
        <v>658</v>
      </c>
      <c r="E26" s="207" t="s">
        <v>664</v>
      </c>
      <c r="F26" s="200" t="str">
        <f t="shared" si="4"/>
        <v>累计充值20000钻即可获得奖励</v>
      </c>
      <c r="G26" s="199" t="s">
        <v>660</v>
      </c>
      <c r="H26" s="207" t="s">
        <v>1201</v>
      </c>
      <c r="I26" s="207" t="s">
        <v>1201</v>
      </c>
      <c r="J26" s="207" t="s">
        <v>1202</v>
      </c>
      <c r="K26" s="207" t="s">
        <v>1202</v>
      </c>
      <c r="L26" s="207"/>
      <c r="M26" s="207" t="s">
        <v>61</v>
      </c>
      <c r="N26" s="207" t="s">
        <v>62</v>
      </c>
      <c r="O26" s="201" t="s">
        <v>63</v>
      </c>
      <c r="P26" s="201" t="s">
        <v>64</v>
      </c>
      <c r="Q26" s="207" t="s">
        <v>273</v>
      </c>
      <c r="R26" s="210"/>
      <c r="S26" s="207"/>
      <c r="T26" s="201"/>
      <c r="U26" s="201">
        <v>1</v>
      </c>
      <c r="V26" s="201">
        <v>0</v>
      </c>
      <c r="W26" s="201"/>
      <c r="X26" s="201" t="s">
        <v>65</v>
      </c>
      <c r="Y26" s="201"/>
      <c r="Z26" s="201"/>
      <c r="AA26" s="201"/>
      <c r="AB26" s="200" t="str">
        <f t="shared" si="2"/>
        <v>;;;;;;;3020224:1|3090600:4|6080001:10|4011000:20|4013000:20|4015000:20|4016000:20|1091502:1|1092502:1|1093502:1|1094502:1|1095501:1|1096502:1;;</v>
      </c>
      <c r="AC26" s="234">
        <v>20000</v>
      </c>
      <c r="AD26" s="235"/>
      <c r="AE26" s="235"/>
      <c r="AF26" s="235"/>
      <c r="AG26" s="235"/>
      <c r="AH26" s="235"/>
      <c r="AI26" s="234">
        <v>20000</v>
      </c>
      <c r="AJ26" s="235"/>
      <c r="AK26" s="235"/>
      <c r="AL26" s="235"/>
      <c r="AM26" s="235"/>
      <c r="AN26" s="235"/>
      <c r="AO26" s="235"/>
      <c r="AP26" s="235"/>
      <c r="AQ26" s="235"/>
      <c r="AR26" s="235"/>
      <c r="AS26" s="235"/>
      <c r="AT26" s="235"/>
      <c r="AU26" s="235"/>
      <c r="AV26" s="235"/>
      <c r="AW26" s="236"/>
      <c r="AX26" s="236"/>
      <c r="AY26" s="236"/>
      <c r="AZ26" s="236"/>
      <c r="BA26" s="236"/>
      <c r="BB26" s="236"/>
      <c r="BC26" s="236"/>
      <c r="BD26" s="237" t="s">
        <v>1129</v>
      </c>
      <c r="BE26" s="235"/>
      <c r="BF26" s="235"/>
      <c r="BG26" s="201" t="s">
        <v>619</v>
      </c>
      <c r="BH26" s="201"/>
      <c r="BI26" s="124"/>
    </row>
    <row r="27" spans="1:61" s="202" customFormat="1" ht="20.100000000000001" customHeight="1">
      <c r="A27" s="39" t="s">
        <v>1145</v>
      </c>
      <c r="B27" s="201">
        <v>1</v>
      </c>
      <c r="C27" s="201">
        <v>2</v>
      </c>
      <c r="D27" s="208" t="s">
        <v>658</v>
      </c>
      <c r="E27" s="207" t="s">
        <v>665</v>
      </c>
      <c r="F27" s="200" t="str">
        <f t="shared" si="4"/>
        <v>累计充值30000钻即可获得奖励</v>
      </c>
      <c r="G27" s="199" t="s">
        <v>660</v>
      </c>
      <c r="H27" s="207" t="s">
        <v>1201</v>
      </c>
      <c r="I27" s="207" t="s">
        <v>1201</v>
      </c>
      <c r="J27" s="207" t="s">
        <v>1202</v>
      </c>
      <c r="K27" s="207" t="s">
        <v>1202</v>
      </c>
      <c r="L27" s="207"/>
      <c r="M27" s="207" t="s">
        <v>61</v>
      </c>
      <c r="N27" s="207" t="s">
        <v>62</v>
      </c>
      <c r="O27" s="201" t="s">
        <v>63</v>
      </c>
      <c r="P27" s="201" t="s">
        <v>64</v>
      </c>
      <c r="Q27" s="207" t="s">
        <v>273</v>
      </c>
      <c r="R27" s="210"/>
      <c r="S27" s="207"/>
      <c r="T27" s="201"/>
      <c r="U27" s="201">
        <v>1</v>
      </c>
      <c r="V27" s="201">
        <v>0</v>
      </c>
      <c r="W27" s="201"/>
      <c r="X27" s="201" t="s">
        <v>65</v>
      </c>
      <c r="Y27" s="201"/>
      <c r="Z27" s="201"/>
      <c r="AA27" s="201"/>
      <c r="AB27" s="200" t="str">
        <f t="shared" si="2"/>
        <v>;;;;;;;3020224:2|3090600:6|6080001:10|4011000:25|4013000:25|4015000:25|4016000:25|1091503:1|1092503:1|1093503:1|1094503:1|1095503:1|1096503:1;;</v>
      </c>
      <c r="AC27" s="234">
        <v>30000</v>
      </c>
      <c r="AD27" s="235"/>
      <c r="AE27" s="235"/>
      <c r="AF27" s="235"/>
      <c r="AG27" s="235"/>
      <c r="AH27" s="235"/>
      <c r="AI27" s="234">
        <v>30000</v>
      </c>
      <c r="AJ27" s="235"/>
      <c r="AK27" s="235"/>
      <c r="AL27" s="235"/>
      <c r="AM27" s="235"/>
      <c r="AN27" s="235"/>
      <c r="AO27" s="235"/>
      <c r="AP27" s="235"/>
      <c r="AQ27" s="235"/>
      <c r="AR27" s="235"/>
      <c r="AS27" s="235"/>
      <c r="AT27" s="235"/>
      <c r="AU27" s="235"/>
      <c r="AV27" s="235"/>
      <c r="AW27" s="236"/>
      <c r="AX27" s="236"/>
      <c r="AY27" s="236"/>
      <c r="AZ27" s="236"/>
      <c r="BA27" s="236"/>
      <c r="BB27" s="236"/>
      <c r="BC27" s="236"/>
      <c r="BD27" s="237" t="s">
        <v>1130</v>
      </c>
      <c r="BE27" s="235"/>
      <c r="BF27" s="235"/>
      <c r="BG27" s="201" t="s">
        <v>619</v>
      </c>
      <c r="BH27" s="201"/>
      <c r="BI27" s="124"/>
    </row>
    <row r="28" spans="1:61" s="216" customFormat="1" ht="20.100000000000001" customHeight="1">
      <c r="A28" s="221">
        <v>103008</v>
      </c>
      <c r="B28" s="221">
        <v>3</v>
      </c>
      <c r="C28" s="221">
        <v>1</v>
      </c>
      <c r="D28" s="221" t="s">
        <v>1033</v>
      </c>
      <c r="E28" s="221" t="s">
        <v>1035</v>
      </c>
      <c r="F28" s="221"/>
      <c r="G28" s="221" t="s">
        <v>60</v>
      </c>
      <c r="H28" s="222" t="s">
        <v>1205</v>
      </c>
      <c r="I28" s="222" t="s">
        <v>1205</v>
      </c>
      <c r="J28" s="222" t="s">
        <v>1206</v>
      </c>
      <c r="K28" s="222" t="s">
        <v>1206</v>
      </c>
      <c r="L28" s="221">
        <v>0</v>
      </c>
      <c r="M28" s="223" t="s">
        <v>61</v>
      </c>
      <c r="N28" s="223" t="s">
        <v>62</v>
      </c>
      <c r="O28" s="160" t="s">
        <v>63</v>
      </c>
      <c r="P28" s="160" t="s">
        <v>64</v>
      </c>
      <c r="Q28" s="222" t="s">
        <v>617</v>
      </c>
      <c r="R28" s="221"/>
      <c r="S28" s="221"/>
      <c r="T28" s="221">
        <v>1</v>
      </c>
      <c r="U28" s="221">
        <v>0</v>
      </c>
      <c r="V28" s="221">
        <v>0</v>
      </c>
      <c r="W28" s="221" t="s">
        <v>1036</v>
      </c>
      <c r="X28" s="221" t="s">
        <v>1034</v>
      </c>
      <c r="Y28" s="221"/>
      <c r="Z28" s="221"/>
      <c r="AA28" s="221"/>
      <c r="AB28" s="155" t="str">
        <f t="shared" si="0"/>
        <v>;;;;;;;;;</v>
      </c>
      <c r="AC28" s="221">
        <v>0</v>
      </c>
      <c r="AD28" s="221">
        <v>2</v>
      </c>
      <c r="AE28" s="221"/>
      <c r="AF28" s="221"/>
      <c r="AG28" s="221"/>
      <c r="AH28" s="221"/>
      <c r="AI28" s="221"/>
      <c r="AJ28" s="221"/>
      <c r="AK28" s="221"/>
      <c r="AL28" s="221"/>
      <c r="AM28" s="221"/>
      <c r="AN28" s="221"/>
      <c r="AO28" s="221"/>
      <c r="AP28" s="221"/>
      <c r="AQ28" s="221"/>
      <c r="AR28" s="221"/>
      <c r="AS28" s="221"/>
      <c r="AT28" s="221"/>
      <c r="AU28" s="221"/>
      <c r="AV28" s="221"/>
      <c r="AW28" s="224"/>
      <c r="AX28" s="224"/>
      <c r="AY28" s="224"/>
      <c r="AZ28" s="224"/>
      <c r="BA28" s="224"/>
      <c r="BB28" s="224"/>
      <c r="BC28" s="224"/>
      <c r="BD28" s="224"/>
      <c r="BE28" s="225"/>
      <c r="BF28" s="225"/>
      <c r="BG28" s="160" t="s">
        <v>619</v>
      </c>
      <c r="BH28" s="226"/>
      <c r="BI28" s="227"/>
    </row>
    <row r="29" spans="1:61" s="216" customFormat="1" ht="20.100000000000001" customHeight="1">
      <c r="A29" s="221">
        <v>103009</v>
      </c>
      <c r="B29" s="221">
        <v>3</v>
      </c>
      <c r="C29" s="221">
        <v>1</v>
      </c>
      <c r="D29" s="221" t="s">
        <v>666</v>
      </c>
      <c r="E29" s="221" t="s">
        <v>667</v>
      </c>
      <c r="F29" s="221"/>
      <c r="G29" s="221" t="s">
        <v>60</v>
      </c>
      <c r="H29" s="222" t="s">
        <v>1203</v>
      </c>
      <c r="I29" s="222" t="s">
        <v>1203</v>
      </c>
      <c r="J29" s="222" t="s">
        <v>1204</v>
      </c>
      <c r="K29" s="222" t="s">
        <v>1204</v>
      </c>
      <c r="L29" s="221">
        <v>0</v>
      </c>
      <c r="M29" s="223" t="s">
        <v>61</v>
      </c>
      <c r="N29" s="223" t="s">
        <v>62</v>
      </c>
      <c r="O29" s="160" t="s">
        <v>63</v>
      </c>
      <c r="P29" s="160" t="s">
        <v>64</v>
      </c>
      <c r="Q29" s="222" t="s">
        <v>617</v>
      </c>
      <c r="R29" s="221"/>
      <c r="S29" s="221"/>
      <c r="T29" s="221">
        <v>1</v>
      </c>
      <c r="U29" s="221">
        <v>0</v>
      </c>
      <c r="V29" s="221">
        <v>0</v>
      </c>
      <c r="W29" s="221" t="s">
        <v>669</v>
      </c>
      <c r="X29" s="221" t="s">
        <v>1032</v>
      </c>
      <c r="Y29" s="221"/>
      <c r="Z29" s="221"/>
      <c r="AA29" s="221"/>
      <c r="AB29" s="155" t="str">
        <f t="shared" ref="AB29" si="5">CONCATENATE(AW29,BG29,AX29,BG29,AY29,BG29,AZ29,BG29,BA29,BG29,BB29,BG29,BC29,BG29,BD29,BG29,BE29,BG29,BF29)</f>
        <v>;;;;;;;;;</v>
      </c>
      <c r="AC29" s="221">
        <v>0</v>
      </c>
      <c r="AD29" s="221">
        <v>2</v>
      </c>
      <c r="AE29" s="221"/>
      <c r="AF29" s="221"/>
      <c r="AG29" s="221"/>
      <c r="AH29" s="221"/>
      <c r="AI29" s="221"/>
      <c r="AJ29" s="221"/>
      <c r="AK29" s="221"/>
      <c r="AL29" s="221"/>
      <c r="AM29" s="221"/>
      <c r="AN29" s="221"/>
      <c r="AO29" s="221"/>
      <c r="AP29" s="221"/>
      <c r="AQ29" s="221"/>
      <c r="AR29" s="221"/>
      <c r="AS29" s="221"/>
      <c r="AT29" s="221"/>
      <c r="AU29" s="221"/>
      <c r="AV29" s="221"/>
      <c r="AW29" s="224"/>
      <c r="AX29" s="224"/>
      <c r="AY29" s="224"/>
      <c r="AZ29" s="224"/>
      <c r="BA29" s="224"/>
      <c r="BB29" s="224"/>
      <c r="BC29" s="224"/>
      <c r="BD29" s="224"/>
      <c r="BE29" s="225"/>
      <c r="BF29" s="225"/>
      <c r="BG29" s="160" t="s">
        <v>619</v>
      </c>
      <c r="BH29" s="226"/>
      <c r="BI29" s="227"/>
    </row>
    <row r="30" spans="1:61" s="216" customFormat="1" ht="20.100000000000001" customHeight="1">
      <c r="A30" s="221">
        <v>103010</v>
      </c>
      <c r="B30" s="221">
        <v>3</v>
      </c>
      <c r="C30" s="221">
        <v>1</v>
      </c>
      <c r="D30" s="221" t="s">
        <v>463</v>
      </c>
      <c r="E30" s="221" t="s">
        <v>670</v>
      </c>
      <c r="F30" s="221"/>
      <c r="G30" s="221" t="s">
        <v>60</v>
      </c>
      <c r="H30" s="222" t="s">
        <v>1207</v>
      </c>
      <c r="I30" s="222" t="s">
        <v>1207</v>
      </c>
      <c r="J30" s="222" t="s">
        <v>1208</v>
      </c>
      <c r="K30" s="222" t="s">
        <v>1208</v>
      </c>
      <c r="L30" s="221">
        <v>0</v>
      </c>
      <c r="M30" s="223" t="s">
        <v>61</v>
      </c>
      <c r="N30" s="223" t="s">
        <v>62</v>
      </c>
      <c r="O30" s="160" t="s">
        <v>63</v>
      </c>
      <c r="P30" s="160" t="s">
        <v>64</v>
      </c>
      <c r="Q30" s="222" t="s">
        <v>617</v>
      </c>
      <c r="R30" s="221"/>
      <c r="S30" s="221"/>
      <c r="T30" s="221">
        <v>1</v>
      </c>
      <c r="U30" s="221">
        <v>0</v>
      </c>
      <c r="V30" s="221">
        <v>0</v>
      </c>
      <c r="W30" s="221" t="s">
        <v>671</v>
      </c>
      <c r="X30" s="221" t="s">
        <v>464</v>
      </c>
      <c r="Y30" s="221"/>
      <c r="Z30" s="221"/>
      <c r="AA30" s="221"/>
      <c r="AB30" s="155" t="str">
        <f t="shared" si="0"/>
        <v>;;;;;;;;;</v>
      </c>
      <c r="AC30" s="221">
        <v>0</v>
      </c>
      <c r="AD30" s="221">
        <v>2</v>
      </c>
      <c r="AE30" s="221"/>
      <c r="AF30" s="221"/>
      <c r="AG30" s="221"/>
      <c r="AH30" s="221"/>
      <c r="AI30" s="221"/>
      <c r="AJ30" s="221"/>
      <c r="AK30" s="221"/>
      <c r="AL30" s="221"/>
      <c r="AM30" s="221"/>
      <c r="AN30" s="221"/>
      <c r="AO30" s="221"/>
      <c r="AP30" s="221"/>
      <c r="AQ30" s="221"/>
      <c r="AR30" s="221"/>
      <c r="AS30" s="221"/>
      <c r="AT30" s="221"/>
      <c r="AU30" s="221"/>
      <c r="AV30" s="221"/>
      <c r="AW30" s="224"/>
      <c r="AX30" s="224"/>
      <c r="AY30" s="224"/>
      <c r="AZ30" s="224"/>
      <c r="BA30" s="224"/>
      <c r="BB30" s="224"/>
      <c r="BC30" s="224"/>
      <c r="BD30" s="224"/>
      <c r="BE30" s="225"/>
      <c r="BF30" s="225"/>
      <c r="BG30" s="160" t="s">
        <v>619</v>
      </c>
      <c r="BH30" s="226"/>
      <c r="BI30" s="227"/>
    </row>
    <row r="31" spans="1:61" s="216" customFormat="1" ht="20.100000000000001" customHeight="1">
      <c r="A31" s="221">
        <v>103011</v>
      </c>
      <c r="B31" s="221">
        <v>3</v>
      </c>
      <c r="C31" s="221">
        <v>1</v>
      </c>
      <c r="D31" s="221" t="s">
        <v>465</v>
      </c>
      <c r="E31" s="221" t="s">
        <v>672</v>
      </c>
      <c r="F31" s="221"/>
      <c r="G31" s="221" t="s">
        <v>60</v>
      </c>
      <c r="H31" s="222" t="s">
        <v>1209</v>
      </c>
      <c r="I31" s="222" t="s">
        <v>1209</v>
      </c>
      <c r="J31" s="222" t="s">
        <v>1210</v>
      </c>
      <c r="K31" s="222" t="s">
        <v>1210</v>
      </c>
      <c r="L31" s="221">
        <v>0</v>
      </c>
      <c r="M31" s="223" t="s">
        <v>61</v>
      </c>
      <c r="N31" s="223" t="s">
        <v>62</v>
      </c>
      <c r="O31" s="160" t="s">
        <v>63</v>
      </c>
      <c r="P31" s="160" t="s">
        <v>64</v>
      </c>
      <c r="Q31" s="222" t="s">
        <v>617</v>
      </c>
      <c r="R31" s="221"/>
      <c r="S31" s="221"/>
      <c r="T31" s="221">
        <v>1</v>
      </c>
      <c r="U31" s="221">
        <v>0</v>
      </c>
      <c r="V31" s="221">
        <v>0</v>
      </c>
      <c r="W31" s="221" t="s">
        <v>673</v>
      </c>
      <c r="X31" s="221" t="s">
        <v>466</v>
      </c>
      <c r="Y31" s="221"/>
      <c r="Z31" s="221"/>
      <c r="AA31" s="221"/>
      <c r="AB31" s="155" t="str">
        <f t="shared" si="0"/>
        <v>;;;;;;;;;</v>
      </c>
      <c r="AC31" s="221">
        <v>0</v>
      </c>
      <c r="AD31" s="221">
        <v>2</v>
      </c>
      <c r="AE31" s="221"/>
      <c r="AF31" s="221"/>
      <c r="AG31" s="221"/>
      <c r="AH31" s="221"/>
      <c r="AI31" s="221"/>
      <c r="AJ31" s="221"/>
      <c r="AK31" s="221"/>
      <c r="AL31" s="221"/>
      <c r="AM31" s="221"/>
      <c r="AN31" s="221"/>
      <c r="AO31" s="221"/>
      <c r="AP31" s="221"/>
      <c r="AQ31" s="221"/>
      <c r="AR31" s="221"/>
      <c r="AS31" s="221"/>
      <c r="AT31" s="221"/>
      <c r="AU31" s="221"/>
      <c r="AV31" s="221"/>
      <c r="AW31" s="224"/>
      <c r="AX31" s="224"/>
      <c r="AY31" s="224"/>
      <c r="AZ31" s="224"/>
      <c r="BA31" s="224"/>
      <c r="BB31" s="224"/>
      <c r="BC31" s="224"/>
      <c r="BD31" s="224"/>
      <c r="BE31" s="225"/>
      <c r="BF31" s="225"/>
      <c r="BG31" s="160" t="s">
        <v>619</v>
      </c>
      <c r="BH31" s="226"/>
      <c r="BI31" s="227"/>
    </row>
    <row r="32" spans="1:61" s="216" customFormat="1" ht="20.100000000000001" customHeight="1">
      <c r="A32" s="221">
        <v>103201</v>
      </c>
      <c r="B32" s="221">
        <v>3</v>
      </c>
      <c r="C32" s="221">
        <v>2</v>
      </c>
      <c r="D32" s="221" t="s">
        <v>674</v>
      </c>
      <c r="E32" s="221"/>
      <c r="F32" s="221"/>
      <c r="G32" s="221" t="s">
        <v>60</v>
      </c>
      <c r="H32" s="222" t="s">
        <v>241</v>
      </c>
      <c r="I32" s="222" t="s">
        <v>241</v>
      </c>
      <c r="J32" s="152" t="s">
        <v>284</v>
      </c>
      <c r="K32" s="152" t="s">
        <v>284</v>
      </c>
      <c r="L32" s="221">
        <v>0</v>
      </c>
      <c r="M32" s="223" t="s">
        <v>675</v>
      </c>
      <c r="N32" s="223" t="s">
        <v>676</v>
      </c>
      <c r="O32" s="160">
        <v>7</v>
      </c>
      <c r="P32" s="160" t="s">
        <v>64</v>
      </c>
      <c r="Q32" s="222" t="s">
        <v>617</v>
      </c>
      <c r="R32" s="221"/>
      <c r="S32" s="221"/>
      <c r="T32" s="221">
        <v>1</v>
      </c>
      <c r="U32" s="221">
        <v>0</v>
      </c>
      <c r="V32" s="221">
        <v>0</v>
      </c>
      <c r="W32" s="221"/>
      <c r="X32" s="221" t="s">
        <v>466</v>
      </c>
      <c r="Y32" s="221"/>
      <c r="Z32" s="221"/>
      <c r="AA32" s="221"/>
      <c r="AB32" s="155" t="str">
        <f t="shared" si="0"/>
        <v>;;;;;;;;;</v>
      </c>
      <c r="AC32" s="221">
        <v>2</v>
      </c>
      <c r="AD32" s="221"/>
      <c r="AE32" s="221"/>
      <c r="AF32" s="221"/>
      <c r="AG32" s="221"/>
      <c r="AH32" s="221"/>
      <c r="AI32" s="221"/>
      <c r="AJ32" s="221"/>
      <c r="AK32" s="221"/>
      <c r="AL32" s="221"/>
      <c r="AM32" s="221"/>
      <c r="AN32" s="221"/>
      <c r="AO32" s="221"/>
      <c r="AP32" s="221"/>
      <c r="AQ32" s="221"/>
      <c r="AR32" s="221"/>
      <c r="AS32" s="221"/>
      <c r="AT32" s="221"/>
      <c r="AU32" s="221"/>
      <c r="AV32" s="221"/>
      <c r="AW32" s="224"/>
      <c r="AX32" s="224"/>
      <c r="AY32" s="224"/>
      <c r="AZ32" s="224"/>
      <c r="BA32" s="224"/>
      <c r="BB32" s="224"/>
      <c r="BC32" s="224"/>
      <c r="BD32" s="224"/>
      <c r="BE32" s="225"/>
      <c r="BF32" s="225"/>
      <c r="BG32" s="160" t="s">
        <v>619</v>
      </c>
      <c r="BH32" s="226"/>
      <c r="BI32" s="227"/>
    </row>
    <row r="33" spans="1:61" s="216" customFormat="1" ht="20.100000000000001" customHeight="1">
      <c r="A33" s="221">
        <v>103202</v>
      </c>
      <c r="B33" s="221">
        <v>3</v>
      </c>
      <c r="C33" s="221">
        <v>2</v>
      </c>
      <c r="D33" s="221" t="s">
        <v>674</v>
      </c>
      <c r="E33" s="221"/>
      <c r="F33" s="221"/>
      <c r="G33" s="221" t="s">
        <v>60</v>
      </c>
      <c r="H33" s="222" t="s">
        <v>241</v>
      </c>
      <c r="I33" s="222" t="s">
        <v>241</v>
      </c>
      <c r="J33" s="152" t="s">
        <v>284</v>
      </c>
      <c r="K33" s="152" t="s">
        <v>284</v>
      </c>
      <c r="L33" s="221">
        <v>0</v>
      </c>
      <c r="M33" s="223" t="s">
        <v>677</v>
      </c>
      <c r="N33" s="223" t="s">
        <v>678</v>
      </c>
      <c r="O33" s="160">
        <v>7</v>
      </c>
      <c r="P33" s="160" t="s">
        <v>64</v>
      </c>
      <c r="Q33" s="222" t="s">
        <v>617</v>
      </c>
      <c r="R33" s="221"/>
      <c r="S33" s="221"/>
      <c r="T33" s="221">
        <v>1</v>
      </c>
      <c r="U33" s="221">
        <v>0</v>
      </c>
      <c r="V33" s="221">
        <v>0</v>
      </c>
      <c r="W33" s="221"/>
      <c r="X33" s="221" t="s">
        <v>466</v>
      </c>
      <c r="Y33" s="221"/>
      <c r="Z33" s="221"/>
      <c r="AA33" s="221"/>
      <c r="AB33" s="155" t="str">
        <f t="shared" si="0"/>
        <v>;;;;;;;;;</v>
      </c>
      <c r="AC33" s="221">
        <v>2</v>
      </c>
      <c r="AD33" s="221"/>
      <c r="AE33" s="221"/>
      <c r="AF33" s="221"/>
      <c r="AG33" s="221"/>
      <c r="AH33" s="221"/>
      <c r="AI33" s="221"/>
      <c r="AJ33" s="221"/>
      <c r="AK33" s="221"/>
      <c r="AL33" s="221"/>
      <c r="AM33" s="221"/>
      <c r="AN33" s="221"/>
      <c r="AO33" s="221"/>
      <c r="AP33" s="221"/>
      <c r="AQ33" s="221"/>
      <c r="AR33" s="221"/>
      <c r="AS33" s="221"/>
      <c r="AT33" s="221"/>
      <c r="AU33" s="221"/>
      <c r="AV33" s="221"/>
      <c r="AW33" s="224"/>
      <c r="AX33" s="224"/>
      <c r="AY33" s="224"/>
      <c r="AZ33" s="224"/>
      <c r="BA33" s="224"/>
      <c r="BB33" s="224"/>
      <c r="BC33" s="224"/>
      <c r="BD33" s="224"/>
      <c r="BE33" s="225"/>
      <c r="BF33" s="225"/>
      <c r="BG33" s="160" t="s">
        <v>619</v>
      </c>
      <c r="BH33" s="226"/>
      <c r="BI33" s="227"/>
    </row>
    <row r="34" spans="1:61" s="77" customFormat="1" ht="20.100000000000001" customHeight="1">
      <c r="A34" s="104">
        <v>104001</v>
      </c>
      <c r="B34" s="105">
        <v>4</v>
      </c>
      <c r="C34" s="105">
        <v>0</v>
      </c>
      <c r="D34" s="104" t="s">
        <v>679</v>
      </c>
      <c r="E34" s="104"/>
      <c r="F34" s="106"/>
      <c r="G34" s="104" t="s">
        <v>680</v>
      </c>
      <c r="H34" s="107" t="s">
        <v>681</v>
      </c>
      <c r="I34" s="107" t="s">
        <v>681</v>
      </c>
      <c r="J34" s="107" t="s">
        <v>616</v>
      </c>
      <c r="K34" s="107" t="s">
        <v>616</v>
      </c>
      <c r="L34" s="107"/>
      <c r="M34" s="108" t="s">
        <v>61</v>
      </c>
      <c r="N34" s="108" t="s">
        <v>62</v>
      </c>
      <c r="O34" s="104" t="s">
        <v>63</v>
      </c>
      <c r="P34" s="104" t="s">
        <v>64</v>
      </c>
      <c r="Q34" s="108" t="s">
        <v>617</v>
      </c>
      <c r="R34" s="109">
        <v>1102</v>
      </c>
      <c r="S34" s="108"/>
      <c r="T34" s="104"/>
      <c r="U34" s="104">
        <v>0</v>
      </c>
      <c r="V34" s="104">
        <v>0</v>
      </c>
      <c r="W34" s="104">
        <v>6002</v>
      </c>
      <c r="X34" s="104"/>
      <c r="Y34" s="104"/>
      <c r="Z34" s="104"/>
      <c r="AA34" s="104"/>
      <c r="AB34" s="96" t="str">
        <f t="shared" si="0"/>
        <v>;;;;;;;;;</v>
      </c>
      <c r="AC34" s="104">
        <f>AK34</f>
        <v>6000</v>
      </c>
      <c r="AD34" s="104"/>
      <c r="AE34" s="104"/>
      <c r="AF34" s="104"/>
      <c r="AG34" s="104"/>
      <c r="AH34" s="104"/>
      <c r="AI34" s="104"/>
      <c r="AJ34" s="104"/>
      <c r="AK34" s="104">
        <v>6000</v>
      </c>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74" t="s">
        <v>619</v>
      </c>
      <c r="BH34" s="104"/>
      <c r="BI34" s="80"/>
    </row>
    <row r="35" spans="1:61" s="75" customFormat="1" ht="20.100000000000001" customHeight="1">
      <c r="A35" s="93" t="s">
        <v>107</v>
      </c>
      <c r="B35" s="76">
        <v>5</v>
      </c>
      <c r="C35" s="76">
        <v>1</v>
      </c>
      <c r="D35" s="76" t="s">
        <v>108</v>
      </c>
      <c r="E35" s="76" t="s">
        <v>1048</v>
      </c>
      <c r="F35" s="81"/>
      <c r="G35" s="76" t="s">
        <v>60</v>
      </c>
      <c r="H35" s="93" t="s">
        <v>293</v>
      </c>
      <c r="I35" s="93" t="s">
        <v>293</v>
      </c>
      <c r="J35" s="93" t="s">
        <v>616</v>
      </c>
      <c r="K35" s="93" t="s">
        <v>616</v>
      </c>
      <c r="L35" s="93"/>
      <c r="M35" s="93" t="s">
        <v>61</v>
      </c>
      <c r="N35" s="93" t="s">
        <v>62</v>
      </c>
      <c r="O35" s="76" t="s">
        <v>63</v>
      </c>
      <c r="P35" s="76" t="s">
        <v>64</v>
      </c>
      <c r="Q35" s="93" t="s">
        <v>693</v>
      </c>
      <c r="R35" s="99"/>
      <c r="S35" s="93"/>
      <c r="T35" s="76"/>
      <c r="U35" s="76">
        <v>1</v>
      </c>
      <c r="V35" s="76">
        <v>0</v>
      </c>
      <c r="W35" s="76"/>
      <c r="X35" s="76" t="s">
        <v>110</v>
      </c>
      <c r="Y35" s="76"/>
      <c r="Z35" s="76"/>
      <c r="AA35" s="76"/>
      <c r="AB35" s="96" t="str">
        <f>CONCATENATE(AW35,BG35,AX35,BG35,AY35,BG35,AZ35,BG35,BA35,BG35,BB35,BG35,BC35,BG35,BD35,BG35,BE35,BG35,BF35)</f>
        <v>50000;;;;;;;1030501:1|3090200:100;;</v>
      </c>
      <c r="AC35" s="74">
        <f>AH35</f>
        <v>7</v>
      </c>
      <c r="AD35" s="74"/>
      <c r="AE35" s="76"/>
      <c r="AF35" s="76"/>
      <c r="AG35" s="76"/>
      <c r="AH35" s="76">
        <v>7</v>
      </c>
      <c r="AI35" s="76"/>
      <c r="AJ35" s="76"/>
      <c r="AK35" s="76"/>
      <c r="AL35" s="76"/>
      <c r="AM35" s="76"/>
      <c r="AN35" s="76"/>
      <c r="AO35" s="76"/>
      <c r="AP35" s="76"/>
      <c r="AQ35" s="76"/>
      <c r="AR35" s="76"/>
      <c r="AS35" s="76"/>
      <c r="AT35" s="76"/>
      <c r="AU35" s="76"/>
      <c r="AV35" s="76"/>
      <c r="AW35" s="138">
        <v>50000</v>
      </c>
      <c r="AX35" s="139"/>
      <c r="AY35" s="138"/>
      <c r="AZ35" s="138"/>
      <c r="BA35" s="138"/>
      <c r="BB35" s="140"/>
      <c r="BC35" s="138"/>
      <c r="BD35" s="142" t="s">
        <v>1055</v>
      </c>
      <c r="BE35" s="119"/>
      <c r="BF35" s="119"/>
      <c r="BG35" s="74" t="s">
        <v>619</v>
      </c>
      <c r="BH35" s="74"/>
      <c r="BI35" s="80"/>
    </row>
    <row r="36" spans="1:61" s="77" customFormat="1" ht="20.100000000000001" customHeight="1">
      <c r="A36" s="93" t="s">
        <v>1058</v>
      </c>
      <c r="B36" s="76">
        <v>5</v>
      </c>
      <c r="C36" s="76">
        <v>1</v>
      </c>
      <c r="D36" s="76" t="s">
        <v>108</v>
      </c>
      <c r="E36" s="76" t="s">
        <v>109</v>
      </c>
      <c r="F36" s="81"/>
      <c r="G36" s="76" t="s">
        <v>60</v>
      </c>
      <c r="H36" s="93" t="s">
        <v>681</v>
      </c>
      <c r="I36" s="93" t="s">
        <v>681</v>
      </c>
      <c r="J36" s="93" t="s">
        <v>616</v>
      </c>
      <c r="K36" s="93" t="s">
        <v>616</v>
      </c>
      <c r="L36" s="93"/>
      <c r="M36" s="93" t="s">
        <v>61</v>
      </c>
      <c r="N36" s="93" t="s">
        <v>62</v>
      </c>
      <c r="O36" s="76" t="s">
        <v>63</v>
      </c>
      <c r="P36" s="76" t="s">
        <v>64</v>
      </c>
      <c r="Q36" s="93" t="s">
        <v>682</v>
      </c>
      <c r="R36" s="99"/>
      <c r="S36" s="93"/>
      <c r="T36" s="76"/>
      <c r="U36" s="76">
        <v>1</v>
      </c>
      <c r="V36" s="76">
        <v>0</v>
      </c>
      <c r="W36" s="76"/>
      <c r="X36" s="76" t="s">
        <v>110</v>
      </c>
      <c r="Y36" s="76"/>
      <c r="Z36" s="76"/>
      <c r="AA36" s="76"/>
      <c r="AB36" s="96" t="str">
        <f t="shared" si="0"/>
        <v>;40;;;;;;4050011:2|4050012:2|3090200:100;;</v>
      </c>
      <c r="AC36" s="74">
        <f t="shared" ref="AC36:AC56" si="6">AH36</f>
        <v>10</v>
      </c>
      <c r="AD36" s="74"/>
      <c r="AE36" s="76"/>
      <c r="AF36" s="76"/>
      <c r="AG36" s="76"/>
      <c r="AH36" s="76">
        <v>10</v>
      </c>
      <c r="AI36" s="76"/>
      <c r="AJ36" s="76"/>
      <c r="AK36" s="76"/>
      <c r="AL36" s="76"/>
      <c r="AM36" s="76"/>
      <c r="AN36" s="76"/>
      <c r="AO36" s="76"/>
      <c r="AP36" s="76"/>
      <c r="AQ36" s="76"/>
      <c r="AR36" s="76"/>
      <c r="AS36" s="76"/>
      <c r="AT36" s="76"/>
      <c r="AU36" s="76"/>
      <c r="AV36" s="76"/>
      <c r="AW36" s="138"/>
      <c r="AX36" s="139">
        <v>40</v>
      </c>
      <c r="AY36" s="138"/>
      <c r="AZ36" s="138"/>
      <c r="BA36" s="138"/>
      <c r="BB36" s="140"/>
      <c r="BC36" s="138"/>
      <c r="BD36" s="138" t="s">
        <v>1054</v>
      </c>
      <c r="BE36" s="119"/>
      <c r="BF36" s="119"/>
      <c r="BG36" s="74" t="s">
        <v>619</v>
      </c>
      <c r="BH36" s="74">
        <v>3020012</v>
      </c>
      <c r="BI36" s="80"/>
    </row>
    <row r="37" spans="1:61" s="75" customFormat="1" ht="20.100000000000001" customHeight="1">
      <c r="A37" s="93" t="s">
        <v>114</v>
      </c>
      <c r="B37" s="76">
        <v>5</v>
      </c>
      <c r="C37" s="76">
        <v>1</v>
      </c>
      <c r="D37" s="76" t="s">
        <v>108</v>
      </c>
      <c r="E37" s="76" t="s">
        <v>1049</v>
      </c>
      <c r="F37" s="81"/>
      <c r="G37" s="76" t="s">
        <v>60</v>
      </c>
      <c r="H37" s="93" t="s">
        <v>293</v>
      </c>
      <c r="I37" s="93" t="s">
        <v>293</v>
      </c>
      <c r="J37" s="93" t="s">
        <v>616</v>
      </c>
      <c r="K37" s="93" t="s">
        <v>616</v>
      </c>
      <c r="L37" s="93"/>
      <c r="M37" s="93" t="s">
        <v>61</v>
      </c>
      <c r="N37" s="93" t="s">
        <v>62</v>
      </c>
      <c r="O37" s="76" t="s">
        <v>63</v>
      </c>
      <c r="P37" s="76" t="s">
        <v>64</v>
      </c>
      <c r="Q37" s="93" t="s">
        <v>693</v>
      </c>
      <c r="R37" s="99"/>
      <c r="S37" s="93"/>
      <c r="T37" s="76"/>
      <c r="U37" s="76">
        <v>1</v>
      </c>
      <c r="V37" s="76">
        <v>0</v>
      </c>
      <c r="W37" s="76"/>
      <c r="X37" s="76" t="s">
        <v>110</v>
      </c>
      <c r="Y37" s="76"/>
      <c r="Z37" s="76"/>
      <c r="AA37" s="76"/>
      <c r="AB37" s="96" t="str">
        <f t="shared" ref="AB37" si="7">CONCATENATE(AW37,BG37,AX37,BG37,AY37,BG37,AZ37,BG37,BA37,BG37,BB37,BG37,BC37,BG37,BD37,BG37,BE37,BG37,BF37)</f>
        <v>50000;;;;;;;1010501:1|3090200:100;;</v>
      </c>
      <c r="AC37" s="74">
        <f>AH37</f>
        <v>12</v>
      </c>
      <c r="AD37" s="74"/>
      <c r="AE37" s="76"/>
      <c r="AF37" s="76"/>
      <c r="AG37" s="76"/>
      <c r="AH37" s="76">
        <v>12</v>
      </c>
      <c r="AI37" s="76"/>
      <c r="AJ37" s="76"/>
      <c r="AK37" s="76"/>
      <c r="AL37" s="76"/>
      <c r="AM37" s="76"/>
      <c r="AN37" s="76"/>
      <c r="AO37" s="76"/>
      <c r="AP37" s="76"/>
      <c r="AQ37" s="76"/>
      <c r="AR37" s="76"/>
      <c r="AS37" s="76"/>
      <c r="AT37" s="76"/>
      <c r="AU37" s="76"/>
      <c r="AV37" s="76"/>
      <c r="AW37" s="138">
        <v>50000</v>
      </c>
      <c r="AX37" s="139"/>
      <c r="AY37" s="138"/>
      <c r="AZ37" s="138"/>
      <c r="BA37" s="138"/>
      <c r="BB37" s="140"/>
      <c r="BC37" s="138"/>
      <c r="BD37" s="142" t="s">
        <v>1056</v>
      </c>
      <c r="BE37" s="119"/>
      <c r="BF37" s="119"/>
      <c r="BG37" s="74" t="s">
        <v>619</v>
      </c>
      <c r="BH37" s="74"/>
      <c r="BI37" s="80"/>
    </row>
    <row r="38" spans="1:61" s="77" customFormat="1" ht="20.100000000000001" customHeight="1">
      <c r="A38" s="93" t="s">
        <v>116</v>
      </c>
      <c r="B38" s="76">
        <v>5</v>
      </c>
      <c r="C38" s="76">
        <v>1</v>
      </c>
      <c r="D38" s="76" t="s">
        <v>108</v>
      </c>
      <c r="E38" s="76" t="s">
        <v>113</v>
      </c>
      <c r="F38" s="81"/>
      <c r="G38" s="76" t="s">
        <v>60</v>
      </c>
      <c r="H38" s="93" t="s">
        <v>681</v>
      </c>
      <c r="I38" s="93" t="s">
        <v>681</v>
      </c>
      <c r="J38" s="93" t="s">
        <v>616</v>
      </c>
      <c r="K38" s="93" t="s">
        <v>616</v>
      </c>
      <c r="L38" s="93"/>
      <c r="M38" s="93" t="s">
        <v>61</v>
      </c>
      <c r="N38" s="93" t="s">
        <v>62</v>
      </c>
      <c r="O38" s="76" t="s">
        <v>63</v>
      </c>
      <c r="P38" s="76" t="s">
        <v>64</v>
      </c>
      <c r="Q38" s="93" t="s">
        <v>683</v>
      </c>
      <c r="R38" s="99"/>
      <c r="S38" s="93"/>
      <c r="T38" s="76"/>
      <c r="U38" s="76">
        <v>1</v>
      </c>
      <c r="V38" s="76">
        <v>0</v>
      </c>
      <c r="W38" s="76"/>
      <c r="X38" s="76" t="s">
        <v>110</v>
      </c>
      <c r="Y38" s="76"/>
      <c r="Z38" s="76"/>
      <c r="AA38" s="76"/>
      <c r="AB38" s="96" t="str">
        <f t="shared" si="0"/>
        <v>;50;;;;;;4050013:2|4050014:2|3120100:5;;</v>
      </c>
      <c r="AC38" s="74">
        <f t="shared" si="6"/>
        <v>15</v>
      </c>
      <c r="AD38" s="74"/>
      <c r="AE38" s="76"/>
      <c r="AF38" s="76"/>
      <c r="AG38" s="76"/>
      <c r="AH38" s="76">
        <v>15</v>
      </c>
      <c r="AI38" s="76"/>
      <c r="AJ38" s="76"/>
      <c r="AK38" s="76"/>
      <c r="AL38" s="76"/>
      <c r="AM38" s="76"/>
      <c r="AN38" s="76"/>
      <c r="AO38" s="76"/>
      <c r="AP38" s="76"/>
      <c r="AQ38" s="76"/>
      <c r="AR38" s="76"/>
      <c r="AS38" s="76"/>
      <c r="AT38" s="76"/>
      <c r="AU38" s="76"/>
      <c r="AV38" s="76"/>
      <c r="AW38" s="138"/>
      <c r="AX38" s="139">
        <v>50</v>
      </c>
      <c r="AY38" s="138"/>
      <c r="AZ38" s="138"/>
      <c r="BA38" s="138"/>
      <c r="BB38" s="140"/>
      <c r="BC38" s="138"/>
      <c r="BD38" s="138" t="s">
        <v>559</v>
      </c>
      <c r="BE38" s="119"/>
      <c r="BF38" s="119"/>
      <c r="BG38" s="74" t="s">
        <v>619</v>
      </c>
      <c r="BH38" s="74">
        <v>3020013</v>
      </c>
      <c r="BI38" s="80"/>
    </row>
    <row r="39" spans="1:61" s="75" customFormat="1" ht="20.100000000000001" customHeight="1">
      <c r="A39" s="93" t="s">
        <v>118</v>
      </c>
      <c r="B39" s="76">
        <v>5</v>
      </c>
      <c r="C39" s="76">
        <v>1</v>
      </c>
      <c r="D39" s="76" t="s">
        <v>108</v>
      </c>
      <c r="E39" s="76" t="s">
        <v>1050</v>
      </c>
      <c r="F39" s="81"/>
      <c r="G39" s="76" t="s">
        <v>60</v>
      </c>
      <c r="H39" s="93" t="s">
        <v>293</v>
      </c>
      <c r="I39" s="93" t="s">
        <v>293</v>
      </c>
      <c r="J39" s="93" t="s">
        <v>616</v>
      </c>
      <c r="K39" s="93" t="s">
        <v>616</v>
      </c>
      <c r="L39" s="93"/>
      <c r="M39" s="93" t="s">
        <v>61</v>
      </c>
      <c r="N39" s="93" t="s">
        <v>62</v>
      </c>
      <c r="O39" s="76" t="s">
        <v>63</v>
      </c>
      <c r="P39" s="76" t="s">
        <v>64</v>
      </c>
      <c r="Q39" s="93" t="s">
        <v>693</v>
      </c>
      <c r="R39" s="99"/>
      <c r="S39" s="93"/>
      <c r="T39" s="76"/>
      <c r="U39" s="76">
        <v>1</v>
      </c>
      <c r="V39" s="76">
        <v>0</v>
      </c>
      <c r="W39" s="76"/>
      <c r="X39" s="76" t="s">
        <v>110</v>
      </c>
      <c r="Y39" s="76"/>
      <c r="Z39" s="76"/>
      <c r="AA39" s="76"/>
      <c r="AB39" s="96" t="str">
        <f t="shared" ref="AB39" si="8">CONCATENATE(AW39,BG39,AX39,BG39,AY39,BG39,AZ39,BG39,BA39,BG39,BB39,BG39,BC39,BG39,BD39,BG39,BE39,BG39,BF39)</f>
        <v>50000;;;;;;;1050501:1|3090200:100;;</v>
      </c>
      <c r="AC39" s="74">
        <f>AH39</f>
        <v>18</v>
      </c>
      <c r="AD39" s="74"/>
      <c r="AE39" s="76"/>
      <c r="AF39" s="76"/>
      <c r="AG39" s="76"/>
      <c r="AH39" s="76">
        <v>18</v>
      </c>
      <c r="AI39" s="76"/>
      <c r="AJ39" s="76"/>
      <c r="AK39" s="76"/>
      <c r="AL39" s="76"/>
      <c r="AM39" s="76"/>
      <c r="AN39" s="76"/>
      <c r="AO39" s="76"/>
      <c r="AP39" s="76"/>
      <c r="AQ39" s="76"/>
      <c r="AR39" s="76"/>
      <c r="AS39" s="76"/>
      <c r="AT39" s="76"/>
      <c r="AU39" s="76"/>
      <c r="AV39" s="76"/>
      <c r="AW39" s="138">
        <v>50000</v>
      </c>
      <c r="AX39" s="139"/>
      <c r="AY39" s="138"/>
      <c r="AZ39" s="138"/>
      <c r="BA39" s="138"/>
      <c r="BB39" s="140"/>
      <c r="BC39" s="138"/>
      <c r="BD39" s="142" t="s">
        <v>1057</v>
      </c>
      <c r="BE39" s="119"/>
      <c r="BF39" s="119"/>
      <c r="BG39" s="74" t="s">
        <v>619</v>
      </c>
      <c r="BH39" s="74"/>
      <c r="BI39" s="80"/>
    </row>
    <row r="40" spans="1:61" s="75" customFormat="1" ht="20.100000000000001" customHeight="1">
      <c r="A40" s="93" t="s">
        <v>120</v>
      </c>
      <c r="B40" s="76">
        <v>5</v>
      </c>
      <c r="C40" s="76">
        <v>1</v>
      </c>
      <c r="D40" s="76" t="s">
        <v>108</v>
      </c>
      <c r="E40" s="76" t="s">
        <v>115</v>
      </c>
      <c r="F40" s="81"/>
      <c r="G40" s="76" t="s">
        <v>60</v>
      </c>
      <c r="H40" s="93" t="s">
        <v>681</v>
      </c>
      <c r="I40" s="93" t="s">
        <v>681</v>
      </c>
      <c r="J40" s="93" t="s">
        <v>616</v>
      </c>
      <c r="K40" s="93" t="s">
        <v>616</v>
      </c>
      <c r="L40" s="93"/>
      <c r="M40" s="93" t="s">
        <v>61</v>
      </c>
      <c r="N40" s="93" t="s">
        <v>62</v>
      </c>
      <c r="O40" s="76" t="s">
        <v>63</v>
      </c>
      <c r="P40" s="76" t="s">
        <v>64</v>
      </c>
      <c r="Q40" s="93" t="s">
        <v>684</v>
      </c>
      <c r="R40" s="99"/>
      <c r="S40" s="93"/>
      <c r="T40" s="76"/>
      <c r="U40" s="76">
        <v>1</v>
      </c>
      <c r="V40" s="76">
        <v>0</v>
      </c>
      <c r="W40" s="76"/>
      <c r="X40" s="76" t="s">
        <v>110</v>
      </c>
      <c r="Y40" s="76"/>
      <c r="Z40" s="76"/>
      <c r="AA40" s="76"/>
      <c r="AB40" s="96" t="str">
        <f t="shared" si="0"/>
        <v>;60;200;;;;;4011100:10|4013100:10|4015100:10|4016100:10|3120100:10;;</v>
      </c>
      <c r="AC40" s="74">
        <f t="shared" si="6"/>
        <v>20</v>
      </c>
      <c r="AD40" s="74"/>
      <c r="AE40" s="76"/>
      <c r="AF40" s="76"/>
      <c r="AG40" s="76"/>
      <c r="AH40" s="76">
        <v>20</v>
      </c>
      <c r="AI40" s="76"/>
      <c r="AJ40" s="76"/>
      <c r="AK40" s="76"/>
      <c r="AL40" s="76"/>
      <c r="AM40" s="76"/>
      <c r="AN40" s="76"/>
      <c r="AO40" s="76"/>
      <c r="AP40" s="76"/>
      <c r="AQ40" s="76"/>
      <c r="AR40" s="76"/>
      <c r="AS40" s="76"/>
      <c r="AT40" s="76"/>
      <c r="AU40" s="76"/>
      <c r="AV40" s="76"/>
      <c r="AW40" s="138"/>
      <c r="AX40" s="139">
        <v>60</v>
      </c>
      <c r="AY40" s="138">
        <v>200</v>
      </c>
      <c r="AZ40" s="138"/>
      <c r="BA40" s="138"/>
      <c r="BB40" s="140"/>
      <c r="BC40" s="138"/>
      <c r="BD40" s="141" t="s">
        <v>560</v>
      </c>
      <c r="BE40" s="119"/>
      <c r="BF40" s="119"/>
      <c r="BG40" s="74" t="s">
        <v>619</v>
      </c>
      <c r="BH40" s="74">
        <v>3020014</v>
      </c>
      <c r="BI40" s="80"/>
    </row>
    <row r="41" spans="1:61" s="77" customFormat="1" ht="20.100000000000001" customHeight="1">
      <c r="A41" s="93" t="s">
        <v>122</v>
      </c>
      <c r="B41" s="76">
        <v>5</v>
      </c>
      <c r="C41" s="76">
        <v>1</v>
      </c>
      <c r="D41" s="76" t="s">
        <v>108</v>
      </c>
      <c r="E41" s="76" t="s">
        <v>117</v>
      </c>
      <c r="F41" s="81"/>
      <c r="G41" s="76" t="s">
        <v>60</v>
      </c>
      <c r="H41" s="93" t="s">
        <v>681</v>
      </c>
      <c r="I41" s="93" t="s">
        <v>681</v>
      </c>
      <c r="J41" s="93" t="s">
        <v>616</v>
      </c>
      <c r="K41" s="93" t="s">
        <v>616</v>
      </c>
      <c r="L41" s="93"/>
      <c r="M41" s="93" t="s">
        <v>61</v>
      </c>
      <c r="N41" s="93" t="s">
        <v>62</v>
      </c>
      <c r="O41" s="76" t="s">
        <v>63</v>
      </c>
      <c r="P41" s="76" t="s">
        <v>64</v>
      </c>
      <c r="Q41" s="93" t="s">
        <v>685</v>
      </c>
      <c r="R41" s="99"/>
      <c r="S41" s="93"/>
      <c r="T41" s="76"/>
      <c r="U41" s="76">
        <v>1</v>
      </c>
      <c r="V41" s="76">
        <v>0</v>
      </c>
      <c r="W41" s="76"/>
      <c r="X41" s="76" t="s">
        <v>110</v>
      </c>
      <c r="Y41" s="76"/>
      <c r="Z41" s="76"/>
      <c r="AA41" s="76"/>
      <c r="AB41" s="96" t="str">
        <f t="shared" si="0"/>
        <v>;75;;;;;;4011200:10|4013200:10|4015200:10|4016200:10|3160100:100|3160200:10;;</v>
      </c>
      <c r="AC41" s="74">
        <f t="shared" si="6"/>
        <v>25</v>
      </c>
      <c r="AD41" s="74"/>
      <c r="AE41" s="76"/>
      <c r="AF41" s="76"/>
      <c r="AG41" s="76"/>
      <c r="AH41" s="76">
        <v>25</v>
      </c>
      <c r="AI41" s="76"/>
      <c r="AJ41" s="76"/>
      <c r="AK41" s="76"/>
      <c r="AL41" s="76"/>
      <c r="AM41" s="76"/>
      <c r="AN41" s="76"/>
      <c r="AO41" s="76"/>
      <c r="AP41" s="76"/>
      <c r="AQ41" s="76"/>
      <c r="AR41" s="76"/>
      <c r="AS41" s="76"/>
      <c r="AT41" s="76"/>
      <c r="AU41" s="76"/>
      <c r="AV41" s="76"/>
      <c r="AW41" s="138"/>
      <c r="AX41" s="139">
        <v>75</v>
      </c>
      <c r="AY41" s="138"/>
      <c r="AZ41" s="138"/>
      <c r="BA41" s="138"/>
      <c r="BB41" s="140"/>
      <c r="BC41" s="138"/>
      <c r="BD41" s="141" t="s">
        <v>561</v>
      </c>
      <c r="BE41" s="119"/>
      <c r="BF41" s="119"/>
      <c r="BG41" s="74" t="s">
        <v>619</v>
      </c>
      <c r="BH41" s="74">
        <v>3020015</v>
      </c>
      <c r="BI41" s="80"/>
    </row>
    <row r="42" spans="1:61" s="77" customFormat="1" ht="20.100000000000001" customHeight="1">
      <c r="A42" s="93" t="s">
        <v>124</v>
      </c>
      <c r="B42" s="76">
        <v>5</v>
      </c>
      <c r="C42" s="76">
        <v>1</v>
      </c>
      <c r="D42" s="76" t="s">
        <v>108</v>
      </c>
      <c r="E42" s="76" t="s">
        <v>119</v>
      </c>
      <c r="F42" s="81"/>
      <c r="G42" s="76" t="s">
        <v>60</v>
      </c>
      <c r="H42" s="93" t="s">
        <v>681</v>
      </c>
      <c r="I42" s="93" t="s">
        <v>681</v>
      </c>
      <c r="J42" s="93" t="s">
        <v>616</v>
      </c>
      <c r="K42" s="93" t="s">
        <v>616</v>
      </c>
      <c r="L42" s="93"/>
      <c r="M42" s="93" t="s">
        <v>61</v>
      </c>
      <c r="N42" s="93" t="s">
        <v>62</v>
      </c>
      <c r="O42" s="76" t="s">
        <v>63</v>
      </c>
      <c r="P42" s="76" t="s">
        <v>64</v>
      </c>
      <c r="Q42" s="93" t="s">
        <v>686</v>
      </c>
      <c r="R42" s="99"/>
      <c r="S42" s="93"/>
      <c r="T42" s="76"/>
      <c r="U42" s="76">
        <v>1</v>
      </c>
      <c r="V42" s="76">
        <v>0</v>
      </c>
      <c r="W42" s="76"/>
      <c r="X42" s="76" t="s">
        <v>110</v>
      </c>
      <c r="Y42" s="76"/>
      <c r="Z42" s="76"/>
      <c r="AA42" s="76"/>
      <c r="AB42" s="96" t="str">
        <f t="shared" si="0"/>
        <v>;100;500;;;;;4011300:10|4013300:10|4015300:10|4016300:10|3090200:200;;</v>
      </c>
      <c r="AC42" s="74">
        <f t="shared" si="6"/>
        <v>30</v>
      </c>
      <c r="AD42" s="74"/>
      <c r="AE42" s="76"/>
      <c r="AF42" s="76"/>
      <c r="AG42" s="76"/>
      <c r="AH42" s="76">
        <v>30</v>
      </c>
      <c r="AI42" s="76"/>
      <c r="AJ42" s="76"/>
      <c r="AK42" s="76"/>
      <c r="AL42" s="76"/>
      <c r="AM42" s="76"/>
      <c r="AN42" s="76"/>
      <c r="AO42" s="76"/>
      <c r="AP42" s="76"/>
      <c r="AQ42" s="76"/>
      <c r="AR42" s="76"/>
      <c r="AS42" s="76"/>
      <c r="AT42" s="76"/>
      <c r="AU42" s="76"/>
      <c r="AV42" s="76"/>
      <c r="AW42" s="138"/>
      <c r="AX42" s="139">
        <v>100</v>
      </c>
      <c r="AY42" s="138">
        <v>500</v>
      </c>
      <c r="AZ42" s="138"/>
      <c r="BA42" s="138"/>
      <c r="BB42" s="140"/>
      <c r="BC42" s="138"/>
      <c r="BD42" s="141" t="s">
        <v>687</v>
      </c>
      <c r="BE42" s="119"/>
      <c r="BF42" s="119"/>
      <c r="BG42" s="74" t="s">
        <v>619</v>
      </c>
      <c r="BH42" s="74">
        <v>3020016</v>
      </c>
      <c r="BI42" s="80"/>
    </row>
    <row r="43" spans="1:61" s="77" customFormat="1" ht="20.100000000000001" customHeight="1">
      <c r="A43" s="93" t="s">
        <v>1059</v>
      </c>
      <c r="B43" s="76">
        <v>5</v>
      </c>
      <c r="C43" s="76">
        <v>1</v>
      </c>
      <c r="D43" s="76" t="s">
        <v>108</v>
      </c>
      <c r="E43" s="76" t="s">
        <v>121</v>
      </c>
      <c r="F43" s="81"/>
      <c r="G43" s="76" t="s">
        <v>60</v>
      </c>
      <c r="H43" s="93" t="s">
        <v>681</v>
      </c>
      <c r="I43" s="93" t="s">
        <v>681</v>
      </c>
      <c r="J43" s="93" t="s">
        <v>616</v>
      </c>
      <c r="K43" s="93" t="s">
        <v>616</v>
      </c>
      <c r="L43" s="93"/>
      <c r="M43" s="93" t="s">
        <v>61</v>
      </c>
      <c r="N43" s="93" t="s">
        <v>62</v>
      </c>
      <c r="O43" s="76" t="s">
        <v>63</v>
      </c>
      <c r="P43" s="76" t="s">
        <v>64</v>
      </c>
      <c r="Q43" s="93" t="s">
        <v>688</v>
      </c>
      <c r="R43" s="99"/>
      <c r="S43" s="93"/>
      <c r="T43" s="76"/>
      <c r="U43" s="76">
        <v>1</v>
      </c>
      <c r="V43" s="76">
        <v>0</v>
      </c>
      <c r="W43" s="76"/>
      <c r="X43" s="76" t="s">
        <v>110</v>
      </c>
      <c r="Y43" s="76"/>
      <c r="Z43" s="76"/>
      <c r="AA43" s="76"/>
      <c r="AB43" s="96" t="str">
        <f t="shared" si="0"/>
        <v>;125;;;;;;4011400:10|4013400:10|4015400:10|4016400:10|2050003:1|3160100:300;;</v>
      </c>
      <c r="AC43" s="74">
        <f t="shared" si="6"/>
        <v>40</v>
      </c>
      <c r="AD43" s="74"/>
      <c r="AE43" s="76"/>
      <c r="AF43" s="76"/>
      <c r="AG43" s="76"/>
      <c r="AH43" s="76">
        <v>40</v>
      </c>
      <c r="AI43" s="76"/>
      <c r="AJ43" s="76"/>
      <c r="AK43" s="76"/>
      <c r="AL43" s="76"/>
      <c r="AM43" s="76"/>
      <c r="AN43" s="76"/>
      <c r="AO43" s="76"/>
      <c r="AP43" s="76"/>
      <c r="AQ43" s="76"/>
      <c r="AR43" s="76"/>
      <c r="AS43" s="76"/>
      <c r="AT43" s="76"/>
      <c r="AU43" s="76"/>
      <c r="AV43" s="76"/>
      <c r="AW43" s="138"/>
      <c r="AX43" s="139">
        <v>125</v>
      </c>
      <c r="AY43" s="138"/>
      <c r="AZ43" s="138"/>
      <c r="BA43" s="138"/>
      <c r="BB43" s="140"/>
      <c r="BC43" s="138"/>
      <c r="BD43" s="141" t="s">
        <v>562</v>
      </c>
      <c r="BE43" s="119"/>
      <c r="BF43" s="119"/>
      <c r="BG43" s="74" t="s">
        <v>619</v>
      </c>
      <c r="BH43" s="74">
        <v>3020017</v>
      </c>
      <c r="BI43" s="80"/>
    </row>
    <row r="44" spans="1:61" s="77" customFormat="1" ht="20.100000000000001" customHeight="1">
      <c r="A44" s="93" t="s">
        <v>1051</v>
      </c>
      <c r="B44" s="76">
        <v>5</v>
      </c>
      <c r="C44" s="76">
        <v>1</v>
      </c>
      <c r="D44" s="76" t="s">
        <v>108</v>
      </c>
      <c r="E44" s="76" t="s">
        <v>123</v>
      </c>
      <c r="F44" s="81"/>
      <c r="G44" s="76" t="s">
        <v>60</v>
      </c>
      <c r="H44" s="93" t="s">
        <v>681</v>
      </c>
      <c r="I44" s="93" t="s">
        <v>681</v>
      </c>
      <c r="J44" s="93" t="s">
        <v>616</v>
      </c>
      <c r="K44" s="93" t="s">
        <v>616</v>
      </c>
      <c r="L44" s="93"/>
      <c r="M44" s="93" t="s">
        <v>61</v>
      </c>
      <c r="N44" s="93" t="s">
        <v>62</v>
      </c>
      <c r="O44" s="76" t="s">
        <v>63</v>
      </c>
      <c r="P44" s="76" t="s">
        <v>64</v>
      </c>
      <c r="Q44" s="93" t="s">
        <v>689</v>
      </c>
      <c r="R44" s="99"/>
      <c r="S44" s="93"/>
      <c r="T44" s="76"/>
      <c r="U44" s="76">
        <v>1</v>
      </c>
      <c r="V44" s="76">
        <v>0</v>
      </c>
      <c r="W44" s="76"/>
      <c r="X44" s="76" t="s">
        <v>110</v>
      </c>
      <c r="Y44" s="76"/>
      <c r="Z44" s="76"/>
      <c r="AA44" s="76"/>
      <c r="AB44" s="96" t="str">
        <f t="shared" si="0"/>
        <v>;150;;;;;;4011500:10|4013500:10|4015500:10|4016500:10|2040003:1|3160200:20;;</v>
      </c>
      <c r="AC44" s="74">
        <f t="shared" si="6"/>
        <v>50</v>
      </c>
      <c r="AD44" s="74"/>
      <c r="AE44" s="76"/>
      <c r="AF44" s="76"/>
      <c r="AG44" s="76"/>
      <c r="AH44" s="76">
        <v>50</v>
      </c>
      <c r="AI44" s="76"/>
      <c r="AJ44" s="76"/>
      <c r="AK44" s="76"/>
      <c r="AL44" s="76"/>
      <c r="AM44" s="76"/>
      <c r="AN44" s="76"/>
      <c r="AO44" s="76"/>
      <c r="AP44" s="76"/>
      <c r="AQ44" s="76"/>
      <c r="AR44" s="76"/>
      <c r="AS44" s="76"/>
      <c r="AT44" s="76"/>
      <c r="AU44" s="76"/>
      <c r="AV44" s="76"/>
      <c r="AW44" s="138"/>
      <c r="AX44" s="139">
        <v>150</v>
      </c>
      <c r="AY44" s="138"/>
      <c r="AZ44" s="138"/>
      <c r="BA44" s="138"/>
      <c r="BB44" s="140"/>
      <c r="BC44" s="138"/>
      <c r="BD44" s="141" t="s">
        <v>563</v>
      </c>
      <c r="BE44" s="119"/>
      <c r="BF44" s="119"/>
      <c r="BG44" s="74" t="s">
        <v>619</v>
      </c>
      <c r="BH44" s="74">
        <v>3020018</v>
      </c>
      <c r="BI44" s="80"/>
    </row>
    <row r="45" spans="1:61" s="77" customFormat="1" ht="20.100000000000001" customHeight="1">
      <c r="A45" s="93" t="s">
        <v>1052</v>
      </c>
      <c r="B45" s="76">
        <v>5</v>
      </c>
      <c r="C45" s="76">
        <v>1</v>
      </c>
      <c r="D45" s="76" t="s">
        <v>108</v>
      </c>
      <c r="E45" s="76" t="s">
        <v>125</v>
      </c>
      <c r="F45" s="81"/>
      <c r="G45" s="76" t="s">
        <v>60</v>
      </c>
      <c r="H45" s="93" t="s">
        <v>681</v>
      </c>
      <c r="I45" s="93" t="s">
        <v>681</v>
      </c>
      <c r="J45" s="93" t="s">
        <v>616</v>
      </c>
      <c r="K45" s="93" t="s">
        <v>616</v>
      </c>
      <c r="L45" s="93"/>
      <c r="M45" s="93" t="s">
        <v>61</v>
      </c>
      <c r="N45" s="93" t="s">
        <v>62</v>
      </c>
      <c r="O45" s="76" t="s">
        <v>63</v>
      </c>
      <c r="P45" s="76" t="s">
        <v>64</v>
      </c>
      <c r="Q45" s="93" t="s">
        <v>690</v>
      </c>
      <c r="R45" s="99"/>
      <c r="S45" s="93"/>
      <c r="T45" s="76"/>
      <c r="U45" s="76">
        <v>1</v>
      </c>
      <c r="V45" s="76">
        <v>0</v>
      </c>
      <c r="W45" s="76"/>
      <c r="X45" s="76" t="s">
        <v>110</v>
      </c>
      <c r="Y45" s="76"/>
      <c r="Z45" s="76"/>
      <c r="AA45" s="76"/>
      <c r="AB45" s="96" t="str">
        <f t="shared" si="0"/>
        <v>;175;;;;;;4011600:10|4013600:10|4015600:10|4016600:10|2020003:1|3120100:20;;</v>
      </c>
      <c r="AC45" s="74">
        <f t="shared" si="6"/>
        <v>60</v>
      </c>
      <c r="AD45" s="74"/>
      <c r="AE45" s="76"/>
      <c r="AF45" s="76"/>
      <c r="AG45" s="76"/>
      <c r="AH45" s="76">
        <v>60</v>
      </c>
      <c r="AI45" s="76"/>
      <c r="AJ45" s="76"/>
      <c r="AK45" s="76"/>
      <c r="AL45" s="76"/>
      <c r="AM45" s="76"/>
      <c r="AN45" s="76"/>
      <c r="AO45" s="76"/>
      <c r="AP45" s="76"/>
      <c r="AQ45" s="76"/>
      <c r="AR45" s="76"/>
      <c r="AS45" s="76"/>
      <c r="AT45" s="76"/>
      <c r="AU45" s="76"/>
      <c r="AV45" s="76"/>
      <c r="AW45" s="138"/>
      <c r="AX45" s="139">
        <v>175</v>
      </c>
      <c r="AY45" s="138"/>
      <c r="AZ45" s="138"/>
      <c r="BA45" s="138"/>
      <c r="BB45" s="140"/>
      <c r="BC45" s="138"/>
      <c r="BD45" s="141" t="s">
        <v>691</v>
      </c>
      <c r="BE45" s="119"/>
      <c r="BF45" s="119"/>
      <c r="BG45" s="74" t="s">
        <v>619</v>
      </c>
      <c r="BH45" s="74">
        <v>3020019</v>
      </c>
      <c r="BI45" s="80"/>
    </row>
    <row r="46" spans="1:61" s="75" customFormat="1" ht="20.100000000000001" customHeight="1">
      <c r="A46" s="93" t="s">
        <v>1053</v>
      </c>
      <c r="B46" s="76">
        <v>5</v>
      </c>
      <c r="C46" s="76">
        <v>1</v>
      </c>
      <c r="D46" s="76" t="s">
        <v>108</v>
      </c>
      <c r="E46" s="76" t="s">
        <v>692</v>
      </c>
      <c r="F46" s="81"/>
      <c r="G46" s="76" t="s">
        <v>60</v>
      </c>
      <c r="H46" s="93" t="s">
        <v>681</v>
      </c>
      <c r="I46" s="93" t="s">
        <v>681</v>
      </c>
      <c r="J46" s="93" t="s">
        <v>616</v>
      </c>
      <c r="K46" s="93" t="s">
        <v>616</v>
      </c>
      <c r="L46" s="93"/>
      <c r="M46" s="93" t="s">
        <v>61</v>
      </c>
      <c r="N46" s="93" t="s">
        <v>62</v>
      </c>
      <c r="O46" s="76" t="s">
        <v>63</v>
      </c>
      <c r="P46" s="76" t="s">
        <v>64</v>
      </c>
      <c r="Q46" s="93" t="s">
        <v>693</v>
      </c>
      <c r="R46" s="99"/>
      <c r="S46" s="93"/>
      <c r="T46" s="76"/>
      <c r="U46" s="76">
        <v>1</v>
      </c>
      <c r="V46" s="76">
        <v>0</v>
      </c>
      <c r="W46" s="76"/>
      <c r="X46" s="76" t="s">
        <v>110</v>
      </c>
      <c r="Y46" s="76"/>
      <c r="Z46" s="76"/>
      <c r="AA46" s="76"/>
      <c r="AB46" s="96" t="str">
        <f t="shared" si="0"/>
        <v>;200;1000;;;;;1081701:1|1083701:1|1085701:1|1086701:1;;</v>
      </c>
      <c r="AC46" s="74">
        <f t="shared" si="6"/>
        <v>70</v>
      </c>
      <c r="AD46" s="74"/>
      <c r="AE46" s="76"/>
      <c r="AF46" s="76"/>
      <c r="AG46" s="76"/>
      <c r="AH46" s="76">
        <v>70</v>
      </c>
      <c r="AI46" s="76"/>
      <c r="AJ46" s="76"/>
      <c r="AK46" s="76"/>
      <c r="AL46" s="76"/>
      <c r="AM46" s="76"/>
      <c r="AN46" s="76"/>
      <c r="AO46" s="76"/>
      <c r="AP46" s="76"/>
      <c r="AQ46" s="76"/>
      <c r="AR46" s="76"/>
      <c r="AS46" s="76"/>
      <c r="AT46" s="76"/>
      <c r="AU46" s="76"/>
      <c r="AV46" s="76"/>
      <c r="AW46" s="138"/>
      <c r="AX46" s="139">
        <v>200</v>
      </c>
      <c r="AY46" s="138">
        <v>1000</v>
      </c>
      <c r="AZ46" s="138"/>
      <c r="BA46" s="138"/>
      <c r="BB46" s="140"/>
      <c r="BC46" s="138"/>
      <c r="BD46" s="142" t="s">
        <v>564</v>
      </c>
      <c r="BE46" s="119"/>
      <c r="BF46" s="119"/>
      <c r="BG46" s="74" t="s">
        <v>619</v>
      </c>
      <c r="BH46" s="74">
        <v>3020020</v>
      </c>
      <c r="BI46" s="80"/>
    </row>
    <row r="47" spans="1:61" s="75" customFormat="1" ht="20.100000000000001" customHeight="1">
      <c r="A47" s="93" t="s">
        <v>694</v>
      </c>
      <c r="B47" s="76">
        <v>5</v>
      </c>
      <c r="C47" s="76">
        <v>2</v>
      </c>
      <c r="D47" s="76" t="s">
        <v>695</v>
      </c>
      <c r="E47" s="76" t="s">
        <v>696</v>
      </c>
      <c r="F47" s="81" t="s">
        <v>697</v>
      </c>
      <c r="G47" s="76" t="s">
        <v>462</v>
      </c>
      <c r="H47" s="93" t="s">
        <v>681</v>
      </c>
      <c r="I47" s="93" t="s">
        <v>681</v>
      </c>
      <c r="J47" s="93" t="s">
        <v>616</v>
      </c>
      <c r="K47" s="93" t="s">
        <v>616</v>
      </c>
      <c r="L47" s="93"/>
      <c r="M47" s="93" t="s">
        <v>61</v>
      </c>
      <c r="N47" s="93" t="s">
        <v>62</v>
      </c>
      <c r="O47" s="76" t="s">
        <v>63</v>
      </c>
      <c r="P47" s="76" t="s">
        <v>64</v>
      </c>
      <c r="Q47" s="93" t="s">
        <v>683</v>
      </c>
      <c r="R47" s="99"/>
      <c r="S47" s="93"/>
      <c r="T47" s="76"/>
      <c r="U47" s="76">
        <v>1</v>
      </c>
      <c r="V47" s="76">
        <v>0</v>
      </c>
      <c r="W47" s="76"/>
      <c r="X47" s="76"/>
      <c r="Y47" s="76"/>
      <c r="Z47" s="76"/>
      <c r="AA47" s="76"/>
      <c r="AB47" s="96" t="str">
        <f t="shared" si="0"/>
        <v>;300;;;;;;;;</v>
      </c>
      <c r="AC47" s="74">
        <f t="shared" si="6"/>
        <v>15</v>
      </c>
      <c r="AD47" s="74">
        <f>AM47</f>
        <v>1000001</v>
      </c>
      <c r="AE47" s="76"/>
      <c r="AF47" s="76"/>
      <c r="AG47" s="76"/>
      <c r="AH47" s="76">
        <v>15</v>
      </c>
      <c r="AI47" s="76"/>
      <c r="AJ47" s="76"/>
      <c r="AK47" s="76"/>
      <c r="AL47" s="76"/>
      <c r="AM47" s="143">
        <v>1000001</v>
      </c>
      <c r="AN47" s="143"/>
      <c r="AO47" s="143"/>
      <c r="AP47" s="143"/>
      <c r="AQ47" s="143"/>
      <c r="AR47" s="143"/>
      <c r="AS47" s="143"/>
      <c r="AT47" s="143"/>
      <c r="AU47" s="143"/>
      <c r="AV47" s="143"/>
      <c r="AW47" s="144"/>
      <c r="AX47" s="120">
        <v>300</v>
      </c>
      <c r="AY47" s="144"/>
      <c r="AZ47" s="144"/>
      <c r="BA47" s="144"/>
      <c r="BB47" s="144"/>
      <c r="BC47" s="144"/>
      <c r="BD47" s="144"/>
      <c r="BE47" s="144"/>
      <c r="BF47" s="144"/>
      <c r="BG47" s="74" t="s">
        <v>619</v>
      </c>
      <c r="BH47" s="74">
        <v>3020107</v>
      </c>
      <c r="BI47" s="80"/>
    </row>
    <row r="48" spans="1:61" s="75" customFormat="1" ht="20.100000000000001" customHeight="1">
      <c r="A48" s="93" t="s">
        <v>376</v>
      </c>
      <c r="B48" s="76">
        <v>5</v>
      </c>
      <c r="C48" s="76">
        <v>2</v>
      </c>
      <c r="D48" s="76" t="s">
        <v>698</v>
      </c>
      <c r="E48" s="76" t="s">
        <v>699</v>
      </c>
      <c r="F48" s="81"/>
      <c r="G48" s="76" t="s">
        <v>462</v>
      </c>
      <c r="H48" s="93" t="s">
        <v>681</v>
      </c>
      <c r="I48" s="93" t="s">
        <v>681</v>
      </c>
      <c r="J48" s="93" t="s">
        <v>616</v>
      </c>
      <c r="K48" s="93" t="s">
        <v>616</v>
      </c>
      <c r="L48" s="93"/>
      <c r="M48" s="93" t="s">
        <v>61</v>
      </c>
      <c r="N48" s="93" t="s">
        <v>62</v>
      </c>
      <c r="O48" s="76" t="s">
        <v>63</v>
      </c>
      <c r="P48" s="76" t="s">
        <v>64</v>
      </c>
      <c r="Q48" s="93" t="s">
        <v>684</v>
      </c>
      <c r="R48" s="99"/>
      <c r="S48" s="93"/>
      <c r="T48" s="76"/>
      <c r="U48" s="76">
        <v>1</v>
      </c>
      <c r="V48" s="76">
        <v>0</v>
      </c>
      <c r="W48" s="76"/>
      <c r="X48" s="76"/>
      <c r="Y48" s="76"/>
      <c r="Z48" s="76"/>
      <c r="AA48" s="76"/>
      <c r="AB48" s="96" t="str">
        <f t="shared" si="0"/>
        <v>;350;;;;;;;;</v>
      </c>
      <c r="AC48" s="74">
        <f t="shared" si="6"/>
        <v>20</v>
      </c>
      <c r="AD48" s="74">
        <f t="shared" ref="AD48:AD55" si="9">AM48</f>
        <v>1000001</v>
      </c>
      <c r="AE48" s="76"/>
      <c r="AF48" s="76"/>
      <c r="AG48" s="76"/>
      <c r="AH48" s="76">
        <v>20</v>
      </c>
      <c r="AI48" s="76"/>
      <c r="AJ48" s="76"/>
      <c r="AK48" s="76"/>
      <c r="AL48" s="76"/>
      <c r="AM48" s="143">
        <v>1000001</v>
      </c>
      <c r="AN48" s="143"/>
      <c r="AO48" s="143"/>
      <c r="AP48" s="143"/>
      <c r="AQ48" s="143"/>
      <c r="AR48" s="143"/>
      <c r="AS48" s="143"/>
      <c r="AT48" s="143"/>
      <c r="AU48" s="143"/>
      <c r="AV48" s="143"/>
      <c r="AW48" s="144"/>
      <c r="AX48" s="120">
        <v>350</v>
      </c>
      <c r="AY48" s="144"/>
      <c r="AZ48" s="144"/>
      <c r="BA48" s="144"/>
      <c r="BB48" s="144"/>
      <c r="BC48" s="144"/>
      <c r="BD48" s="144"/>
      <c r="BE48" s="144"/>
      <c r="BF48" s="144"/>
      <c r="BG48" s="74" t="s">
        <v>619</v>
      </c>
      <c r="BH48" s="74">
        <v>3020108</v>
      </c>
      <c r="BI48" s="80"/>
    </row>
    <row r="49" spans="1:60" s="80" customFormat="1" ht="20.100000000000001" customHeight="1">
      <c r="A49" s="93" t="s">
        <v>377</v>
      </c>
      <c r="B49" s="76">
        <v>5</v>
      </c>
      <c r="C49" s="76">
        <v>2</v>
      </c>
      <c r="D49" s="76" t="s">
        <v>700</v>
      </c>
      <c r="E49" s="76" t="s">
        <v>701</v>
      </c>
      <c r="F49" s="81"/>
      <c r="G49" s="76" t="s">
        <v>462</v>
      </c>
      <c r="H49" s="93" t="s">
        <v>681</v>
      </c>
      <c r="I49" s="93" t="s">
        <v>681</v>
      </c>
      <c r="J49" s="93" t="s">
        <v>616</v>
      </c>
      <c r="K49" s="93" t="s">
        <v>616</v>
      </c>
      <c r="L49" s="93"/>
      <c r="M49" s="93" t="s">
        <v>61</v>
      </c>
      <c r="N49" s="93" t="s">
        <v>62</v>
      </c>
      <c r="O49" s="76" t="s">
        <v>63</v>
      </c>
      <c r="P49" s="76" t="s">
        <v>64</v>
      </c>
      <c r="Q49" s="93" t="s">
        <v>685</v>
      </c>
      <c r="R49" s="99"/>
      <c r="S49" s="93"/>
      <c r="T49" s="76"/>
      <c r="U49" s="76">
        <v>1</v>
      </c>
      <c r="V49" s="76">
        <v>0</v>
      </c>
      <c r="W49" s="76"/>
      <c r="X49" s="76"/>
      <c r="Y49" s="76"/>
      <c r="Z49" s="76"/>
      <c r="AA49" s="76"/>
      <c r="AB49" s="96" t="str">
        <f t="shared" si="0"/>
        <v>;400;;;;;;;;</v>
      </c>
      <c r="AC49" s="74">
        <f t="shared" si="6"/>
        <v>25</v>
      </c>
      <c r="AD49" s="74">
        <f t="shared" si="9"/>
        <v>1000001</v>
      </c>
      <c r="AE49" s="76"/>
      <c r="AF49" s="76"/>
      <c r="AG49" s="76"/>
      <c r="AH49" s="76">
        <v>25</v>
      </c>
      <c r="AI49" s="76"/>
      <c r="AJ49" s="76"/>
      <c r="AK49" s="76"/>
      <c r="AL49" s="76"/>
      <c r="AM49" s="143">
        <v>1000001</v>
      </c>
      <c r="AN49" s="143"/>
      <c r="AO49" s="143"/>
      <c r="AP49" s="143"/>
      <c r="AQ49" s="143"/>
      <c r="AR49" s="143"/>
      <c r="AS49" s="143"/>
      <c r="AT49" s="143"/>
      <c r="AU49" s="143"/>
      <c r="AV49" s="143"/>
      <c r="AW49" s="144"/>
      <c r="AX49" s="120">
        <v>400</v>
      </c>
      <c r="AY49" s="144"/>
      <c r="AZ49" s="144"/>
      <c r="BA49" s="144"/>
      <c r="BB49" s="144"/>
      <c r="BC49" s="144"/>
      <c r="BD49" s="144"/>
      <c r="BE49" s="144"/>
      <c r="BF49" s="144"/>
      <c r="BG49" s="74" t="s">
        <v>619</v>
      </c>
      <c r="BH49" s="74">
        <v>3020109</v>
      </c>
    </row>
    <row r="50" spans="1:60" s="80" customFormat="1" ht="20.100000000000001" customHeight="1">
      <c r="A50" s="93" t="s">
        <v>378</v>
      </c>
      <c r="B50" s="76">
        <v>5</v>
      </c>
      <c r="C50" s="76">
        <v>2</v>
      </c>
      <c r="D50" s="76" t="s">
        <v>702</v>
      </c>
      <c r="E50" s="76" t="s">
        <v>703</v>
      </c>
      <c r="F50" s="81"/>
      <c r="G50" s="76" t="s">
        <v>462</v>
      </c>
      <c r="H50" s="93" t="s">
        <v>681</v>
      </c>
      <c r="I50" s="93" t="s">
        <v>681</v>
      </c>
      <c r="J50" s="93" t="s">
        <v>616</v>
      </c>
      <c r="K50" s="93" t="s">
        <v>616</v>
      </c>
      <c r="L50" s="93"/>
      <c r="M50" s="93" t="s">
        <v>61</v>
      </c>
      <c r="N50" s="93" t="s">
        <v>62</v>
      </c>
      <c r="O50" s="76" t="s">
        <v>63</v>
      </c>
      <c r="P50" s="76" t="s">
        <v>64</v>
      </c>
      <c r="Q50" s="93" t="s">
        <v>686</v>
      </c>
      <c r="R50" s="99"/>
      <c r="S50" s="93"/>
      <c r="T50" s="76"/>
      <c r="U50" s="76">
        <v>1</v>
      </c>
      <c r="V50" s="76">
        <v>0</v>
      </c>
      <c r="W50" s="76"/>
      <c r="X50" s="76"/>
      <c r="Y50" s="76"/>
      <c r="Z50" s="76"/>
      <c r="AA50" s="76"/>
      <c r="AB50" s="96" t="str">
        <f t="shared" si="0"/>
        <v>;450;;;;;;;;</v>
      </c>
      <c r="AC50" s="74">
        <f t="shared" si="6"/>
        <v>30</v>
      </c>
      <c r="AD50" s="74">
        <f t="shared" si="9"/>
        <v>1000001</v>
      </c>
      <c r="AE50" s="76"/>
      <c r="AF50" s="76"/>
      <c r="AG50" s="76"/>
      <c r="AH50" s="76">
        <v>30</v>
      </c>
      <c r="AI50" s="76"/>
      <c r="AJ50" s="76"/>
      <c r="AK50" s="76"/>
      <c r="AL50" s="76"/>
      <c r="AM50" s="143">
        <v>1000001</v>
      </c>
      <c r="AN50" s="143"/>
      <c r="AO50" s="143"/>
      <c r="AP50" s="143"/>
      <c r="AQ50" s="143"/>
      <c r="AR50" s="143"/>
      <c r="AS50" s="143"/>
      <c r="AT50" s="143"/>
      <c r="AU50" s="143"/>
      <c r="AV50" s="143"/>
      <c r="AW50" s="144"/>
      <c r="AX50" s="120">
        <v>450</v>
      </c>
      <c r="AY50" s="144"/>
      <c r="AZ50" s="144"/>
      <c r="BA50" s="144"/>
      <c r="BB50" s="144"/>
      <c r="BC50" s="144"/>
      <c r="BD50" s="144"/>
      <c r="BE50" s="144"/>
      <c r="BF50" s="144"/>
      <c r="BG50" s="74" t="s">
        <v>619</v>
      </c>
      <c r="BH50" s="74">
        <v>3020110</v>
      </c>
    </row>
    <row r="51" spans="1:60" s="80" customFormat="1" ht="20.100000000000001" customHeight="1">
      <c r="A51" s="93" t="s">
        <v>379</v>
      </c>
      <c r="B51" s="76">
        <v>5</v>
      </c>
      <c r="C51" s="76">
        <v>2</v>
      </c>
      <c r="D51" s="76" t="s">
        <v>704</v>
      </c>
      <c r="E51" s="76" t="s">
        <v>705</v>
      </c>
      <c r="F51" s="81"/>
      <c r="G51" s="76" t="s">
        <v>462</v>
      </c>
      <c r="H51" s="93" t="s">
        <v>681</v>
      </c>
      <c r="I51" s="93" t="s">
        <v>681</v>
      </c>
      <c r="J51" s="93" t="s">
        <v>616</v>
      </c>
      <c r="K51" s="93" t="s">
        <v>616</v>
      </c>
      <c r="L51" s="93"/>
      <c r="M51" s="93" t="s">
        <v>61</v>
      </c>
      <c r="N51" s="93" t="s">
        <v>62</v>
      </c>
      <c r="O51" s="76" t="s">
        <v>63</v>
      </c>
      <c r="P51" s="76" t="s">
        <v>64</v>
      </c>
      <c r="Q51" s="93" t="s">
        <v>706</v>
      </c>
      <c r="R51" s="99"/>
      <c r="S51" s="93"/>
      <c r="T51" s="76"/>
      <c r="U51" s="76">
        <v>1</v>
      </c>
      <c r="V51" s="76">
        <v>0</v>
      </c>
      <c r="W51" s="76"/>
      <c r="X51" s="76"/>
      <c r="Y51" s="76"/>
      <c r="Z51" s="76"/>
      <c r="AA51" s="76"/>
      <c r="AB51" s="96" t="str">
        <f t="shared" ref="AB51:AB70" si="10">CONCATENATE(AW51,BG51,AX51,BG51,AY51,BG51,AZ51,BG51,BA51,BG51,BB51,BG51,BC51,BG51,BD51,BG51,BE51,BG51,BF51)</f>
        <v>;500;;;;;;;;</v>
      </c>
      <c r="AC51" s="74">
        <f t="shared" si="6"/>
        <v>35</v>
      </c>
      <c r="AD51" s="74">
        <f t="shared" si="9"/>
        <v>1000001</v>
      </c>
      <c r="AE51" s="76"/>
      <c r="AF51" s="76"/>
      <c r="AG51" s="76"/>
      <c r="AH51" s="76">
        <v>35</v>
      </c>
      <c r="AI51" s="76"/>
      <c r="AJ51" s="76"/>
      <c r="AK51" s="76"/>
      <c r="AL51" s="76"/>
      <c r="AM51" s="143">
        <v>1000001</v>
      </c>
      <c r="AN51" s="143"/>
      <c r="AO51" s="143"/>
      <c r="AP51" s="143"/>
      <c r="AQ51" s="143"/>
      <c r="AR51" s="143"/>
      <c r="AS51" s="143"/>
      <c r="AT51" s="143"/>
      <c r="AU51" s="143"/>
      <c r="AV51" s="143"/>
      <c r="AW51" s="144"/>
      <c r="AX51" s="120">
        <v>500</v>
      </c>
      <c r="AY51" s="144"/>
      <c r="AZ51" s="144"/>
      <c r="BA51" s="144"/>
      <c r="BB51" s="144"/>
      <c r="BC51" s="144"/>
      <c r="BD51" s="144"/>
      <c r="BE51" s="144"/>
      <c r="BF51" s="144"/>
      <c r="BG51" s="74" t="s">
        <v>619</v>
      </c>
      <c r="BH51" s="74">
        <v>3020111</v>
      </c>
    </row>
    <row r="52" spans="1:60" s="80" customFormat="1" ht="20.100000000000001" customHeight="1">
      <c r="A52" s="93" t="s">
        <v>380</v>
      </c>
      <c r="B52" s="76">
        <v>5</v>
      </c>
      <c r="C52" s="76">
        <v>2</v>
      </c>
      <c r="D52" s="76" t="s">
        <v>707</v>
      </c>
      <c r="E52" s="76" t="s">
        <v>708</v>
      </c>
      <c r="F52" s="81"/>
      <c r="G52" s="76" t="s">
        <v>462</v>
      </c>
      <c r="H52" s="93" t="s">
        <v>681</v>
      </c>
      <c r="I52" s="93" t="s">
        <v>681</v>
      </c>
      <c r="J52" s="93" t="s">
        <v>616</v>
      </c>
      <c r="K52" s="93" t="s">
        <v>616</v>
      </c>
      <c r="L52" s="93"/>
      <c r="M52" s="93" t="s">
        <v>61</v>
      </c>
      <c r="N52" s="93" t="s">
        <v>62</v>
      </c>
      <c r="O52" s="76" t="s">
        <v>63</v>
      </c>
      <c r="P52" s="76" t="s">
        <v>64</v>
      </c>
      <c r="Q52" s="93" t="s">
        <v>688</v>
      </c>
      <c r="R52" s="99"/>
      <c r="S52" s="93"/>
      <c r="T52" s="76"/>
      <c r="U52" s="76">
        <v>1</v>
      </c>
      <c r="V52" s="76">
        <v>0</v>
      </c>
      <c r="W52" s="76"/>
      <c r="X52" s="76"/>
      <c r="Y52" s="76"/>
      <c r="Z52" s="76"/>
      <c r="AA52" s="76"/>
      <c r="AB52" s="96" t="str">
        <f t="shared" si="10"/>
        <v>;550;;;;;;;;</v>
      </c>
      <c r="AC52" s="74">
        <f t="shared" si="6"/>
        <v>40</v>
      </c>
      <c r="AD52" s="74">
        <f t="shared" si="9"/>
        <v>1000001</v>
      </c>
      <c r="AE52" s="76"/>
      <c r="AF52" s="76"/>
      <c r="AG52" s="76"/>
      <c r="AH52" s="76">
        <v>40</v>
      </c>
      <c r="AI52" s="76"/>
      <c r="AJ52" s="76"/>
      <c r="AK52" s="76"/>
      <c r="AL52" s="76"/>
      <c r="AM52" s="143">
        <v>1000001</v>
      </c>
      <c r="AN52" s="143"/>
      <c r="AO52" s="143"/>
      <c r="AP52" s="143"/>
      <c r="AQ52" s="143"/>
      <c r="AR52" s="143"/>
      <c r="AS52" s="143"/>
      <c r="AT52" s="143"/>
      <c r="AU52" s="143"/>
      <c r="AV52" s="143"/>
      <c r="AW52" s="144"/>
      <c r="AX52" s="120">
        <v>550</v>
      </c>
      <c r="AY52" s="144"/>
      <c r="AZ52" s="144"/>
      <c r="BA52" s="144"/>
      <c r="BB52" s="144"/>
      <c r="BC52" s="144"/>
      <c r="BD52" s="144"/>
      <c r="BE52" s="144"/>
      <c r="BF52" s="144"/>
      <c r="BG52" s="74" t="s">
        <v>619</v>
      </c>
      <c r="BH52" s="74">
        <v>3020112</v>
      </c>
    </row>
    <row r="53" spans="1:60" s="80" customFormat="1" ht="20.100000000000001" customHeight="1">
      <c r="A53" s="93" t="s">
        <v>381</v>
      </c>
      <c r="B53" s="76">
        <v>5</v>
      </c>
      <c r="C53" s="76">
        <v>2</v>
      </c>
      <c r="D53" s="76" t="s">
        <v>709</v>
      </c>
      <c r="E53" s="76" t="s">
        <v>710</v>
      </c>
      <c r="F53" s="81"/>
      <c r="G53" s="76" t="s">
        <v>462</v>
      </c>
      <c r="H53" s="93" t="s">
        <v>681</v>
      </c>
      <c r="I53" s="93" t="s">
        <v>681</v>
      </c>
      <c r="J53" s="93" t="s">
        <v>616</v>
      </c>
      <c r="K53" s="93" t="s">
        <v>616</v>
      </c>
      <c r="L53" s="93"/>
      <c r="M53" s="93" t="s">
        <v>61</v>
      </c>
      <c r="N53" s="93" t="s">
        <v>62</v>
      </c>
      <c r="O53" s="76" t="s">
        <v>63</v>
      </c>
      <c r="P53" s="76" t="s">
        <v>64</v>
      </c>
      <c r="Q53" s="93" t="s">
        <v>711</v>
      </c>
      <c r="R53" s="99"/>
      <c r="S53" s="93"/>
      <c r="T53" s="76"/>
      <c r="U53" s="76">
        <v>1</v>
      </c>
      <c r="V53" s="76">
        <v>0</v>
      </c>
      <c r="W53" s="76"/>
      <c r="X53" s="76"/>
      <c r="Y53" s="76"/>
      <c r="Z53" s="76"/>
      <c r="AA53" s="76"/>
      <c r="AB53" s="96" t="str">
        <f t="shared" si="10"/>
        <v>;600;;;;;;;;</v>
      </c>
      <c r="AC53" s="74">
        <f t="shared" si="6"/>
        <v>45</v>
      </c>
      <c r="AD53" s="74">
        <f t="shared" si="9"/>
        <v>1000001</v>
      </c>
      <c r="AE53" s="76"/>
      <c r="AF53" s="76"/>
      <c r="AG53" s="76"/>
      <c r="AH53" s="76">
        <v>45</v>
      </c>
      <c r="AI53" s="76"/>
      <c r="AJ53" s="76"/>
      <c r="AK53" s="76"/>
      <c r="AL53" s="76"/>
      <c r="AM53" s="143">
        <v>1000001</v>
      </c>
      <c r="AN53" s="143"/>
      <c r="AO53" s="143"/>
      <c r="AP53" s="143"/>
      <c r="AQ53" s="143"/>
      <c r="AR53" s="143"/>
      <c r="AS53" s="143"/>
      <c r="AT53" s="143"/>
      <c r="AU53" s="143"/>
      <c r="AV53" s="143"/>
      <c r="AW53" s="144"/>
      <c r="AX53" s="120">
        <v>600</v>
      </c>
      <c r="AY53" s="144"/>
      <c r="AZ53" s="144"/>
      <c r="BA53" s="144"/>
      <c r="BB53" s="144"/>
      <c r="BC53" s="144"/>
      <c r="BD53" s="144"/>
      <c r="BE53" s="144"/>
      <c r="BF53" s="144"/>
      <c r="BG53" s="74" t="s">
        <v>619</v>
      </c>
      <c r="BH53" s="74">
        <v>3020113</v>
      </c>
    </row>
    <row r="54" spans="1:60" s="80" customFormat="1" ht="20.100000000000001" customHeight="1">
      <c r="A54" s="93" t="s">
        <v>382</v>
      </c>
      <c r="B54" s="76">
        <v>5</v>
      </c>
      <c r="C54" s="76">
        <v>2</v>
      </c>
      <c r="D54" s="76" t="s">
        <v>712</v>
      </c>
      <c r="E54" s="76" t="s">
        <v>123</v>
      </c>
      <c r="F54" s="81"/>
      <c r="G54" s="76" t="s">
        <v>462</v>
      </c>
      <c r="H54" s="93" t="s">
        <v>681</v>
      </c>
      <c r="I54" s="93" t="s">
        <v>681</v>
      </c>
      <c r="J54" s="93" t="s">
        <v>616</v>
      </c>
      <c r="K54" s="93" t="s">
        <v>616</v>
      </c>
      <c r="L54" s="93"/>
      <c r="M54" s="93" t="s">
        <v>61</v>
      </c>
      <c r="N54" s="93" t="s">
        <v>62</v>
      </c>
      <c r="O54" s="76" t="s">
        <v>63</v>
      </c>
      <c r="P54" s="76" t="s">
        <v>64</v>
      </c>
      <c r="Q54" s="93" t="s">
        <v>689</v>
      </c>
      <c r="R54" s="99"/>
      <c r="S54" s="93"/>
      <c r="T54" s="76"/>
      <c r="U54" s="76">
        <v>1</v>
      </c>
      <c r="V54" s="76">
        <v>0</v>
      </c>
      <c r="W54" s="76"/>
      <c r="X54" s="76"/>
      <c r="Y54" s="76"/>
      <c r="Z54" s="76"/>
      <c r="AA54" s="76"/>
      <c r="AB54" s="96" t="str">
        <f t="shared" si="10"/>
        <v>;650;;;;;;;;</v>
      </c>
      <c r="AC54" s="74">
        <f t="shared" si="6"/>
        <v>50</v>
      </c>
      <c r="AD54" s="74">
        <f t="shared" si="9"/>
        <v>1000001</v>
      </c>
      <c r="AE54" s="76"/>
      <c r="AF54" s="76"/>
      <c r="AG54" s="76"/>
      <c r="AH54" s="76">
        <v>50</v>
      </c>
      <c r="AI54" s="76"/>
      <c r="AJ54" s="76"/>
      <c r="AK54" s="76"/>
      <c r="AL54" s="76"/>
      <c r="AM54" s="143">
        <v>1000001</v>
      </c>
      <c r="AN54" s="143"/>
      <c r="AO54" s="143"/>
      <c r="AP54" s="143"/>
      <c r="AQ54" s="143"/>
      <c r="AR54" s="143"/>
      <c r="AS54" s="143"/>
      <c r="AT54" s="143"/>
      <c r="AU54" s="143"/>
      <c r="AV54" s="143"/>
      <c r="AW54" s="144"/>
      <c r="AX54" s="120">
        <v>650</v>
      </c>
      <c r="AY54" s="144"/>
      <c r="AZ54" s="144"/>
      <c r="BA54" s="144"/>
      <c r="BB54" s="144"/>
      <c r="BC54" s="144"/>
      <c r="BD54" s="144"/>
      <c r="BE54" s="144"/>
      <c r="BF54" s="144"/>
      <c r="BG54" s="74" t="s">
        <v>619</v>
      </c>
      <c r="BH54" s="74">
        <v>3020114</v>
      </c>
    </row>
    <row r="55" spans="1:60" s="80" customFormat="1" ht="20.100000000000001" customHeight="1">
      <c r="A55" s="93" t="s">
        <v>383</v>
      </c>
      <c r="B55" s="76">
        <v>5</v>
      </c>
      <c r="C55" s="76">
        <v>2</v>
      </c>
      <c r="D55" s="76" t="s">
        <v>713</v>
      </c>
      <c r="E55" s="76" t="s">
        <v>714</v>
      </c>
      <c r="F55" s="81"/>
      <c r="G55" s="76" t="s">
        <v>462</v>
      </c>
      <c r="H55" s="93" t="s">
        <v>681</v>
      </c>
      <c r="I55" s="93" t="s">
        <v>681</v>
      </c>
      <c r="J55" s="93" t="s">
        <v>616</v>
      </c>
      <c r="K55" s="93" t="s">
        <v>616</v>
      </c>
      <c r="L55" s="93"/>
      <c r="M55" s="93" t="s">
        <v>61</v>
      </c>
      <c r="N55" s="93" t="s">
        <v>62</v>
      </c>
      <c r="O55" s="76" t="s">
        <v>63</v>
      </c>
      <c r="P55" s="76" t="s">
        <v>64</v>
      </c>
      <c r="Q55" s="93" t="s">
        <v>715</v>
      </c>
      <c r="R55" s="99"/>
      <c r="S55" s="93"/>
      <c r="T55" s="76"/>
      <c r="U55" s="76">
        <v>1</v>
      </c>
      <c r="V55" s="76">
        <v>0</v>
      </c>
      <c r="W55" s="76"/>
      <c r="X55" s="76"/>
      <c r="Y55" s="76"/>
      <c r="Z55" s="76"/>
      <c r="AA55" s="76"/>
      <c r="AB55" s="96" t="str">
        <f t="shared" si="10"/>
        <v>;700;;;;;;;;</v>
      </c>
      <c r="AC55" s="74">
        <f t="shared" si="6"/>
        <v>55</v>
      </c>
      <c r="AD55" s="74">
        <f t="shared" si="9"/>
        <v>1000001</v>
      </c>
      <c r="AE55" s="76"/>
      <c r="AF55" s="76"/>
      <c r="AG55" s="76"/>
      <c r="AH55" s="76">
        <v>55</v>
      </c>
      <c r="AI55" s="76"/>
      <c r="AJ55" s="76"/>
      <c r="AK55" s="76"/>
      <c r="AL55" s="76"/>
      <c r="AM55" s="143">
        <v>1000001</v>
      </c>
      <c r="AN55" s="143"/>
      <c r="AO55" s="143"/>
      <c r="AP55" s="143"/>
      <c r="AQ55" s="143"/>
      <c r="AR55" s="143"/>
      <c r="AS55" s="143"/>
      <c r="AT55" s="143"/>
      <c r="AU55" s="143"/>
      <c r="AV55" s="143"/>
      <c r="AW55" s="144"/>
      <c r="AX55" s="120">
        <v>700</v>
      </c>
      <c r="AY55" s="144"/>
      <c r="AZ55" s="144"/>
      <c r="BA55" s="144"/>
      <c r="BB55" s="144"/>
      <c r="BC55" s="144"/>
      <c r="BD55" s="144"/>
      <c r="BE55" s="144"/>
      <c r="BF55" s="144"/>
      <c r="BG55" s="74" t="s">
        <v>619</v>
      </c>
      <c r="BH55" s="74">
        <v>3020115</v>
      </c>
    </row>
    <row r="56" spans="1:60" s="80" customFormat="1" ht="20.100000000000001" customHeight="1">
      <c r="A56" s="93" t="s">
        <v>384</v>
      </c>
      <c r="B56" s="76">
        <v>5</v>
      </c>
      <c r="C56" s="76">
        <v>2</v>
      </c>
      <c r="D56" s="76" t="s">
        <v>716</v>
      </c>
      <c r="E56" s="76" t="s">
        <v>717</v>
      </c>
      <c r="F56" s="81"/>
      <c r="G56" s="76" t="s">
        <v>462</v>
      </c>
      <c r="H56" s="93" t="s">
        <v>681</v>
      </c>
      <c r="I56" s="93" t="s">
        <v>681</v>
      </c>
      <c r="J56" s="93" t="s">
        <v>616</v>
      </c>
      <c r="K56" s="93" t="s">
        <v>616</v>
      </c>
      <c r="L56" s="93"/>
      <c r="M56" s="93" t="s">
        <v>61</v>
      </c>
      <c r="N56" s="93" t="s">
        <v>62</v>
      </c>
      <c r="O56" s="76" t="s">
        <v>63</v>
      </c>
      <c r="P56" s="76" t="s">
        <v>64</v>
      </c>
      <c r="Q56" s="93" t="s">
        <v>690</v>
      </c>
      <c r="R56" s="99"/>
      <c r="S56" s="93"/>
      <c r="T56" s="76"/>
      <c r="U56" s="76">
        <v>1</v>
      </c>
      <c r="V56" s="76">
        <v>0</v>
      </c>
      <c r="W56" s="76"/>
      <c r="X56" s="76"/>
      <c r="Y56" s="76"/>
      <c r="Z56" s="76"/>
      <c r="AA56" s="76"/>
      <c r="AB56" s="96" t="str">
        <f t="shared" si="10"/>
        <v>;788;;;;;;;;</v>
      </c>
      <c r="AC56" s="74">
        <f t="shared" si="6"/>
        <v>60</v>
      </c>
      <c r="AD56" s="74">
        <f>AM56</f>
        <v>1000001</v>
      </c>
      <c r="AE56" s="76"/>
      <c r="AF56" s="76"/>
      <c r="AG56" s="76"/>
      <c r="AH56" s="76">
        <v>60</v>
      </c>
      <c r="AI56" s="76"/>
      <c r="AJ56" s="76"/>
      <c r="AK56" s="76"/>
      <c r="AL56" s="76"/>
      <c r="AM56" s="143">
        <v>1000001</v>
      </c>
      <c r="AN56" s="143"/>
      <c r="AO56" s="143"/>
      <c r="AP56" s="143"/>
      <c r="AQ56" s="143"/>
      <c r="AR56" s="143"/>
      <c r="AS56" s="143"/>
      <c r="AT56" s="143"/>
      <c r="AU56" s="143"/>
      <c r="AV56" s="143"/>
      <c r="AW56" s="144"/>
      <c r="AX56" s="120">
        <v>788</v>
      </c>
      <c r="AY56" s="144"/>
      <c r="AZ56" s="144"/>
      <c r="BA56" s="144"/>
      <c r="BB56" s="144"/>
      <c r="BC56" s="144"/>
      <c r="BD56" s="144"/>
      <c r="BE56" s="144"/>
      <c r="BF56" s="144"/>
      <c r="BG56" s="74" t="s">
        <v>619</v>
      </c>
      <c r="BH56" s="74">
        <v>3020116</v>
      </c>
    </row>
    <row r="57" spans="1:60" s="80" customFormat="1" ht="20.100000000000001" customHeight="1">
      <c r="A57" s="76">
        <v>107001</v>
      </c>
      <c r="B57" s="76">
        <v>7</v>
      </c>
      <c r="C57" s="76">
        <v>0</v>
      </c>
      <c r="D57" s="81" t="s">
        <v>718</v>
      </c>
      <c r="E57" s="76"/>
      <c r="F57" s="81"/>
      <c r="G57" s="76" t="s">
        <v>132</v>
      </c>
      <c r="H57" s="93" t="s">
        <v>681</v>
      </c>
      <c r="I57" s="93" t="s">
        <v>681</v>
      </c>
      <c r="J57" s="93" t="s">
        <v>616</v>
      </c>
      <c r="K57" s="93" t="s">
        <v>616</v>
      </c>
      <c r="L57" s="93"/>
      <c r="M57" s="93" t="s">
        <v>675</v>
      </c>
      <c r="N57" s="93" t="s">
        <v>719</v>
      </c>
      <c r="O57" s="76" t="s">
        <v>63</v>
      </c>
      <c r="P57" s="76" t="s">
        <v>720</v>
      </c>
      <c r="Q57" s="94" t="s">
        <v>617</v>
      </c>
      <c r="R57" s="97">
        <v>1107</v>
      </c>
      <c r="S57" s="93"/>
      <c r="T57" s="76">
        <v>1</v>
      </c>
      <c r="U57" s="76">
        <v>0</v>
      </c>
      <c r="V57" s="76">
        <v>0</v>
      </c>
      <c r="W57" s="76"/>
      <c r="X57" s="76" t="s">
        <v>134</v>
      </c>
      <c r="Y57" s="76" t="s">
        <v>111</v>
      </c>
      <c r="Z57" s="76" t="s">
        <v>721</v>
      </c>
      <c r="AA57" s="76"/>
      <c r="AB57" s="96" t="str">
        <f t="shared" si="10"/>
        <v>;;;;;;;;;</v>
      </c>
      <c r="AC57" s="76">
        <f>AJ57</f>
        <v>3301</v>
      </c>
      <c r="AD57" s="76">
        <f>AK57</f>
        <v>9000</v>
      </c>
      <c r="AE57" s="76"/>
      <c r="AF57" s="76"/>
      <c r="AG57" s="76"/>
      <c r="AH57" s="76"/>
      <c r="AI57" s="76"/>
      <c r="AJ57" s="81">
        <v>3301</v>
      </c>
      <c r="AK57" s="76">
        <v>9000</v>
      </c>
      <c r="AL57" s="76"/>
      <c r="AM57" s="76"/>
      <c r="AN57" s="76"/>
      <c r="AO57" s="76"/>
      <c r="AP57" s="76"/>
      <c r="AQ57" s="76"/>
      <c r="AR57" s="76"/>
      <c r="AS57" s="76"/>
      <c r="AT57" s="76"/>
      <c r="AU57" s="76"/>
      <c r="AV57" s="76"/>
      <c r="AW57" s="74"/>
      <c r="AX57" s="74"/>
      <c r="AY57" s="74"/>
      <c r="AZ57" s="74"/>
      <c r="BA57" s="74"/>
      <c r="BB57" s="74"/>
      <c r="BC57" s="74"/>
      <c r="BD57" s="74"/>
      <c r="BE57" s="74"/>
      <c r="BF57" s="74"/>
      <c r="BG57" s="74" t="s">
        <v>619</v>
      </c>
      <c r="BH57" s="74"/>
    </row>
    <row r="58" spans="1:60" s="124" customFormat="1" ht="20.100000000000001" customHeight="1">
      <c r="A58" s="76">
        <v>107002</v>
      </c>
      <c r="B58" s="76">
        <v>7</v>
      </c>
      <c r="C58" s="76">
        <v>0</v>
      </c>
      <c r="D58" s="81" t="s">
        <v>718</v>
      </c>
      <c r="E58" s="76"/>
      <c r="F58" s="81"/>
      <c r="G58" s="76" t="s">
        <v>136</v>
      </c>
      <c r="H58" s="93" t="s">
        <v>681</v>
      </c>
      <c r="I58" s="93" t="s">
        <v>681</v>
      </c>
      <c r="J58" s="93" t="s">
        <v>616</v>
      </c>
      <c r="K58" s="93" t="s">
        <v>616</v>
      </c>
      <c r="L58" s="93"/>
      <c r="M58" s="93" t="s">
        <v>677</v>
      </c>
      <c r="N58" s="93" t="s">
        <v>722</v>
      </c>
      <c r="O58" s="76" t="s">
        <v>63</v>
      </c>
      <c r="P58" s="76" t="s">
        <v>723</v>
      </c>
      <c r="Q58" s="94" t="s">
        <v>617</v>
      </c>
      <c r="R58" s="97">
        <v>1107</v>
      </c>
      <c r="S58" s="93"/>
      <c r="T58" s="76">
        <v>1</v>
      </c>
      <c r="U58" s="76">
        <v>0</v>
      </c>
      <c r="V58" s="76">
        <v>0</v>
      </c>
      <c r="W58" s="76"/>
      <c r="X58" s="76" t="s">
        <v>134</v>
      </c>
      <c r="Y58" s="76" t="s">
        <v>111</v>
      </c>
      <c r="Z58" s="76" t="s">
        <v>721</v>
      </c>
      <c r="AA58" s="76"/>
      <c r="AB58" s="96" t="str">
        <f t="shared" si="10"/>
        <v>;;;;;;;;;</v>
      </c>
      <c r="AC58" s="76">
        <f>AJ58</f>
        <v>3302</v>
      </c>
      <c r="AD58" s="76">
        <f>AK58</f>
        <v>9000</v>
      </c>
      <c r="AE58" s="76"/>
      <c r="AF58" s="76"/>
      <c r="AG58" s="76"/>
      <c r="AH58" s="76"/>
      <c r="AI58" s="76"/>
      <c r="AJ58" s="81">
        <v>3302</v>
      </c>
      <c r="AK58" s="76">
        <v>9000</v>
      </c>
      <c r="AL58" s="76"/>
      <c r="AM58" s="76"/>
      <c r="AN58" s="76"/>
      <c r="AO58" s="76"/>
      <c r="AP58" s="76"/>
      <c r="AQ58" s="76"/>
      <c r="AR58" s="76"/>
      <c r="AS58" s="76"/>
      <c r="AT58" s="76"/>
      <c r="AU58" s="76"/>
      <c r="AV58" s="76"/>
      <c r="AW58" s="74"/>
      <c r="AX58" s="74"/>
      <c r="AY58" s="74"/>
      <c r="AZ58" s="74"/>
      <c r="BA58" s="74"/>
      <c r="BB58" s="74"/>
      <c r="BC58" s="74"/>
      <c r="BD58" s="74"/>
      <c r="BE58" s="74"/>
      <c r="BF58" s="74"/>
      <c r="BG58" s="74" t="s">
        <v>619</v>
      </c>
      <c r="BH58" s="74"/>
    </row>
    <row r="59" spans="1:60" s="124" customFormat="1" ht="20.100000000000001" customHeight="1">
      <c r="A59" s="76">
        <v>108001</v>
      </c>
      <c r="B59" s="76">
        <v>8</v>
      </c>
      <c r="C59" s="76">
        <v>0</v>
      </c>
      <c r="D59" s="81" t="s">
        <v>724</v>
      </c>
      <c r="E59" s="76"/>
      <c r="F59" s="81"/>
      <c r="G59" s="76" t="s">
        <v>136</v>
      </c>
      <c r="H59" s="93" t="s">
        <v>725</v>
      </c>
      <c r="I59" s="93" t="s">
        <v>725</v>
      </c>
      <c r="J59" s="93" t="s">
        <v>726</v>
      </c>
      <c r="K59" s="93" t="s">
        <v>726</v>
      </c>
      <c r="L59" s="94"/>
      <c r="M59" s="94" t="s">
        <v>61</v>
      </c>
      <c r="N59" s="94" t="s">
        <v>727</v>
      </c>
      <c r="O59" s="74" t="s">
        <v>63</v>
      </c>
      <c r="P59" s="74" t="s">
        <v>64</v>
      </c>
      <c r="Q59" s="94" t="s">
        <v>210</v>
      </c>
      <c r="R59" s="97"/>
      <c r="S59" s="94"/>
      <c r="T59" s="74">
        <v>1</v>
      </c>
      <c r="U59" s="74">
        <v>0</v>
      </c>
      <c r="V59" s="74">
        <v>0</v>
      </c>
      <c r="W59" s="74"/>
      <c r="X59" s="74"/>
      <c r="Y59" s="74"/>
      <c r="Z59" s="74"/>
      <c r="AA59" s="74"/>
      <c r="AB59" s="96" t="str">
        <f t="shared" si="10"/>
        <v>;;;;;;;;;</v>
      </c>
      <c r="AC59" s="145">
        <v>3</v>
      </c>
      <c r="AD59" s="146"/>
      <c r="AE59" s="74"/>
      <c r="AF59" s="74"/>
      <c r="AG59" s="74"/>
      <c r="AH59" s="74"/>
      <c r="AI59" s="92"/>
      <c r="AJ59" s="74"/>
      <c r="AK59" s="74"/>
      <c r="AL59" s="74"/>
      <c r="AM59" s="146"/>
      <c r="AN59" s="146"/>
      <c r="AO59" s="146"/>
      <c r="AP59" s="146"/>
      <c r="AQ59" s="146"/>
      <c r="AR59" s="146"/>
      <c r="AS59" s="146"/>
      <c r="AT59" s="116"/>
      <c r="AU59" s="116"/>
      <c r="AV59" s="116"/>
      <c r="AW59" s="146"/>
      <c r="AX59" s="146"/>
      <c r="AY59" s="146"/>
      <c r="AZ59" s="117"/>
      <c r="BA59" s="117"/>
      <c r="BB59" s="117"/>
      <c r="BC59" s="117"/>
      <c r="BD59" s="117"/>
      <c r="BE59" s="117"/>
      <c r="BF59" s="117"/>
      <c r="BG59" s="74" t="s">
        <v>619</v>
      </c>
      <c r="BH59" s="117"/>
    </row>
    <row r="60" spans="1:60" s="124" customFormat="1" ht="20.100000000000001" customHeight="1">
      <c r="A60" s="76">
        <v>109001</v>
      </c>
      <c r="B60" s="76">
        <v>9</v>
      </c>
      <c r="C60" s="76">
        <v>0</v>
      </c>
      <c r="D60" s="76" t="s">
        <v>728</v>
      </c>
      <c r="E60" s="76"/>
      <c r="F60" s="81"/>
      <c r="G60" s="76" t="s">
        <v>60</v>
      </c>
      <c r="H60" s="93" t="s">
        <v>681</v>
      </c>
      <c r="I60" s="93" t="s">
        <v>681</v>
      </c>
      <c r="J60" s="93" t="s">
        <v>616</v>
      </c>
      <c r="K60" s="93" t="s">
        <v>616</v>
      </c>
      <c r="L60" s="93"/>
      <c r="M60" s="93" t="s">
        <v>61</v>
      </c>
      <c r="N60" s="93" t="s">
        <v>62</v>
      </c>
      <c r="O60" s="76" t="s">
        <v>63</v>
      </c>
      <c r="P60" s="76" t="s">
        <v>64</v>
      </c>
      <c r="Q60" s="94" t="s">
        <v>617</v>
      </c>
      <c r="R60" s="97">
        <v>1308</v>
      </c>
      <c r="S60" s="93"/>
      <c r="T60" s="76"/>
      <c r="U60" s="76">
        <v>0</v>
      </c>
      <c r="V60" s="76">
        <v>0</v>
      </c>
      <c r="W60" s="76"/>
      <c r="X60" s="76"/>
      <c r="Y60" s="76" t="s">
        <v>111</v>
      </c>
      <c r="Z60" s="76"/>
      <c r="AA60" s="76"/>
      <c r="AB60" s="96" t="str">
        <f t="shared" si="10"/>
        <v>;;;;;;;;;</v>
      </c>
      <c r="AC60" s="76">
        <f>AK60</f>
        <v>7001</v>
      </c>
      <c r="AD60" s="76"/>
      <c r="AE60" s="76"/>
      <c r="AF60" s="76"/>
      <c r="AG60" s="76"/>
      <c r="AH60" s="76"/>
      <c r="AI60" s="76"/>
      <c r="AJ60" s="76"/>
      <c r="AK60" s="76">
        <v>7001</v>
      </c>
      <c r="AL60" s="76"/>
      <c r="AM60" s="76"/>
      <c r="AN60" s="76"/>
      <c r="AO60" s="76"/>
      <c r="AP60" s="76"/>
      <c r="AQ60" s="76"/>
      <c r="AR60" s="76"/>
      <c r="AS60" s="76"/>
      <c r="AT60" s="76"/>
      <c r="AU60" s="76"/>
      <c r="AV60" s="76"/>
      <c r="AW60" s="74"/>
      <c r="AX60" s="74"/>
      <c r="AY60" s="74"/>
      <c r="AZ60" s="74"/>
      <c r="BA60" s="74"/>
      <c r="BB60" s="74"/>
      <c r="BC60" s="74"/>
      <c r="BD60" s="74"/>
      <c r="BE60" s="74"/>
      <c r="BF60" s="74"/>
      <c r="BG60" s="74" t="s">
        <v>619</v>
      </c>
      <c r="BH60" s="74"/>
    </row>
    <row r="61" spans="1:60" s="124" customFormat="1" ht="20.100000000000001" customHeight="1">
      <c r="A61" s="76">
        <v>110001</v>
      </c>
      <c r="B61" s="76">
        <v>10</v>
      </c>
      <c r="C61" s="76">
        <v>0</v>
      </c>
      <c r="D61" s="76" t="s">
        <v>729</v>
      </c>
      <c r="E61" s="76"/>
      <c r="F61" s="81"/>
      <c r="G61" s="76" t="s">
        <v>60</v>
      </c>
      <c r="H61" s="93" t="s">
        <v>681</v>
      </c>
      <c r="I61" s="93" t="s">
        <v>681</v>
      </c>
      <c r="J61" s="93" t="s">
        <v>616</v>
      </c>
      <c r="K61" s="93" t="s">
        <v>616</v>
      </c>
      <c r="L61" s="93"/>
      <c r="M61" s="93" t="s">
        <v>145</v>
      </c>
      <c r="N61" s="93" t="s">
        <v>62</v>
      </c>
      <c r="O61" s="76" t="s">
        <v>63</v>
      </c>
      <c r="P61" s="76" t="s">
        <v>64</v>
      </c>
      <c r="Q61" s="94" t="s">
        <v>617</v>
      </c>
      <c r="R61" s="98">
        <v>1302</v>
      </c>
      <c r="S61" s="93"/>
      <c r="T61" s="76">
        <v>3</v>
      </c>
      <c r="U61" s="76">
        <v>0</v>
      </c>
      <c r="V61" s="76">
        <v>0</v>
      </c>
      <c r="W61" s="76" t="s">
        <v>730</v>
      </c>
      <c r="X61" s="76" t="s">
        <v>148</v>
      </c>
      <c r="Y61" s="76" t="s">
        <v>149</v>
      </c>
      <c r="Z61" s="76"/>
      <c r="AA61" s="76">
        <v>300</v>
      </c>
      <c r="AB61" s="96" t="str">
        <f t="shared" si="10"/>
        <v>;;;;;;;;;</v>
      </c>
      <c r="AC61" s="76"/>
      <c r="AD61" s="76"/>
      <c r="AE61" s="76"/>
      <c r="AF61" s="76"/>
      <c r="AG61" s="76"/>
      <c r="AH61" s="76"/>
      <c r="AI61" s="76"/>
      <c r="AJ61" s="76"/>
      <c r="AK61" s="76"/>
      <c r="AL61" s="76"/>
      <c r="AM61" s="76"/>
      <c r="AN61" s="76"/>
      <c r="AO61" s="76"/>
      <c r="AP61" s="76"/>
      <c r="AQ61" s="76"/>
      <c r="AR61" s="76"/>
      <c r="AS61" s="76"/>
      <c r="AT61" s="76"/>
      <c r="AU61" s="76"/>
      <c r="AV61" s="76"/>
      <c r="AW61" s="74"/>
      <c r="AX61" s="74"/>
      <c r="AY61" s="74"/>
      <c r="AZ61" s="74"/>
      <c r="BA61" s="74"/>
      <c r="BB61" s="74"/>
      <c r="BC61" s="74"/>
      <c r="BD61" s="74"/>
      <c r="BE61" s="74"/>
      <c r="BF61" s="74"/>
      <c r="BG61" s="74" t="s">
        <v>619</v>
      </c>
      <c r="BH61" s="74"/>
    </row>
    <row r="62" spans="1:60" s="124" customFormat="1" ht="20.100000000000001" customHeight="1">
      <c r="A62" s="76">
        <v>111001</v>
      </c>
      <c r="B62" s="76">
        <v>11</v>
      </c>
      <c r="C62" s="76">
        <v>0</v>
      </c>
      <c r="D62" s="76" t="s">
        <v>150</v>
      </c>
      <c r="E62" s="76"/>
      <c r="F62" s="81"/>
      <c r="G62" s="76" t="s">
        <v>60</v>
      </c>
      <c r="H62" s="93" t="s">
        <v>681</v>
      </c>
      <c r="I62" s="93" t="s">
        <v>681</v>
      </c>
      <c r="J62" s="93" t="s">
        <v>616</v>
      </c>
      <c r="K62" s="93" t="s">
        <v>616</v>
      </c>
      <c r="L62" s="93"/>
      <c r="M62" s="93" t="s">
        <v>145</v>
      </c>
      <c r="N62" s="93" t="s">
        <v>62</v>
      </c>
      <c r="O62" s="76" t="s">
        <v>63</v>
      </c>
      <c r="P62" s="76" t="s">
        <v>64</v>
      </c>
      <c r="Q62" s="93" t="s">
        <v>617</v>
      </c>
      <c r="R62" s="99"/>
      <c r="S62" s="93"/>
      <c r="T62" s="76"/>
      <c r="U62" s="76">
        <v>0</v>
      </c>
      <c r="V62" s="76">
        <v>0</v>
      </c>
      <c r="W62" s="76"/>
      <c r="X62" s="76" t="s">
        <v>153</v>
      </c>
      <c r="Y62" s="76" t="s">
        <v>111</v>
      </c>
      <c r="Z62" s="76"/>
      <c r="AA62" s="76"/>
      <c r="AB62" s="96" t="str">
        <f t="shared" si="10"/>
        <v>;;;;;;;;;</v>
      </c>
      <c r="AC62" s="76"/>
      <c r="AD62" s="76"/>
      <c r="AE62" s="76"/>
      <c r="AF62" s="76"/>
      <c r="AG62" s="76"/>
      <c r="AH62" s="76"/>
      <c r="AI62" s="76"/>
      <c r="AJ62" s="76"/>
      <c r="AK62" s="76"/>
      <c r="AL62" s="76"/>
      <c r="AM62" s="76"/>
      <c r="AN62" s="76"/>
      <c r="AO62" s="76"/>
      <c r="AP62" s="76"/>
      <c r="AQ62" s="76"/>
      <c r="AR62" s="76"/>
      <c r="AS62" s="76"/>
      <c r="AT62" s="76"/>
      <c r="AU62" s="76"/>
      <c r="AV62" s="76"/>
      <c r="AW62" s="74"/>
      <c r="AX62" s="74"/>
      <c r="AY62" s="74"/>
      <c r="AZ62" s="74"/>
      <c r="BA62" s="74"/>
      <c r="BB62" s="74"/>
      <c r="BC62" s="74"/>
      <c r="BD62" s="74"/>
      <c r="BE62" s="74"/>
      <c r="BF62" s="74"/>
      <c r="BG62" s="74" t="s">
        <v>619</v>
      </c>
      <c r="BH62" s="74"/>
    </row>
    <row r="63" spans="1:60" s="124" customFormat="1" ht="20.100000000000001" customHeight="1">
      <c r="A63" s="76">
        <v>112001</v>
      </c>
      <c r="B63" s="100">
        <v>12</v>
      </c>
      <c r="C63" s="100">
        <v>0</v>
      </c>
      <c r="D63" s="76" t="s">
        <v>731</v>
      </c>
      <c r="E63" s="76"/>
      <c r="F63" s="81"/>
      <c r="G63" s="76" t="s">
        <v>156</v>
      </c>
      <c r="H63" s="93" t="s">
        <v>681</v>
      </c>
      <c r="I63" s="93" t="s">
        <v>681</v>
      </c>
      <c r="J63" s="93" t="s">
        <v>616</v>
      </c>
      <c r="K63" s="93" t="s">
        <v>616</v>
      </c>
      <c r="L63" s="93"/>
      <c r="M63" s="93" t="s">
        <v>61</v>
      </c>
      <c r="N63" s="93" t="s">
        <v>62</v>
      </c>
      <c r="O63" s="76" t="s">
        <v>63</v>
      </c>
      <c r="P63" s="76" t="s">
        <v>64</v>
      </c>
      <c r="Q63" s="94" t="s">
        <v>617</v>
      </c>
      <c r="R63" s="95">
        <v>1205</v>
      </c>
      <c r="S63" s="93"/>
      <c r="T63" s="76"/>
      <c r="U63" s="76">
        <v>0</v>
      </c>
      <c r="V63" s="76">
        <v>0</v>
      </c>
      <c r="W63" s="76"/>
      <c r="X63" s="76"/>
      <c r="Y63" s="76" t="s">
        <v>111</v>
      </c>
      <c r="Z63" s="76"/>
      <c r="AA63" s="76"/>
      <c r="AB63" s="96" t="str">
        <f t="shared" si="10"/>
        <v>;;;;;;;;;</v>
      </c>
      <c r="AC63" s="76">
        <f>AK63</f>
        <v>7000</v>
      </c>
      <c r="AD63" s="76"/>
      <c r="AE63" s="76"/>
      <c r="AF63" s="76"/>
      <c r="AG63" s="76"/>
      <c r="AH63" s="76"/>
      <c r="AI63" s="76"/>
      <c r="AJ63" s="76"/>
      <c r="AK63" s="76">
        <v>7000</v>
      </c>
      <c r="AL63" s="76"/>
      <c r="AM63" s="76"/>
      <c r="AN63" s="76"/>
      <c r="AO63" s="76"/>
      <c r="AP63" s="76"/>
      <c r="AQ63" s="76"/>
      <c r="AR63" s="76"/>
      <c r="AS63" s="76"/>
      <c r="AT63" s="76"/>
      <c r="AU63" s="76"/>
      <c r="AV63" s="76"/>
      <c r="AW63" s="74"/>
      <c r="AX63" s="74"/>
      <c r="AY63" s="74"/>
      <c r="AZ63" s="74"/>
      <c r="BA63" s="74"/>
      <c r="BB63" s="74"/>
      <c r="BC63" s="74"/>
      <c r="BD63" s="74"/>
      <c r="BE63" s="74"/>
      <c r="BF63" s="74"/>
      <c r="BG63" s="74" t="s">
        <v>619</v>
      </c>
      <c r="BH63" s="74"/>
    </row>
    <row r="64" spans="1:60" s="124" customFormat="1" ht="20.100000000000001" customHeight="1">
      <c r="A64" s="239">
        <v>113001</v>
      </c>
      <c r="B64" s="239">
        <v>13</v>
      </c>
      <c r="C64" s="239">
        <v>1</v>
      </c>
      <c r="D64" s="239" t="s">
        <v>1166</v>
      </c>
      <c r="E64" s="239" t="s">
        <v>1167</v>
      </c>
      <c r="F64" s="244"/>
      <c r="G64" s="239" t="s">
        <v>732</v>
      </c>
      <c r="H64" s="238" t="s">
        <v>1168</v>
      </c>
      <c r="I64" s="238" t="s">
        <v>1168</v>
      </c>
      <c r="J64" s="238" t="s">
        <v>1169</v>
      </c>
      <c r="K64" s="238" t="s">
        <v>1169</v>
      </c>
      <c r="L64" s="238"/>
      <c r="M64" s="238" t="s">
        <v>145</v>
      </c>
      <c r="N64" s="238" t="s">
        <v>62</v>
      </c>
      <c r="O64" s="239" t="s">
        <v>63</v>
      </c>
      <c r="P64" s="239" t="s">
        <v>64</v>
      </c>
      <c r="Q64" s="238" t="s">
        <v>1170</v>
      </c>
      <c r="R64" s="241"/>
      <c r="S64" s="238"/>
      <c r="T64" s="239">
        <v>1</v>
      </c>
      <c r="U64" s="239">
        <v>0</v>
      </c>
      <c r="V64" s="239">
        <v>0</v>
      </c>
      <c r="W64" s="239"/>
      <c r="X64" s="239"/>
      <c r="Y64" s="239"/>
      <c r="Z64" s="239"/>
      <c r="AA64" s="239"/>
      <c r="AB64" s="242" t="str">
        <f t="shared" si="10"/>
        <v>;;;;;;;;;</v>
      </c>
      <c r="AC64" s="239">
        <f>AL64</f>
        <v>1</v>
      </c>
      <c r="AD64" s="239"/>
      <c r="AE64" s="239"/>
      <c r="AF64" s="239"/>
      <c r="AG64" s="239"/>
      <c r="AH64" s="239"/>
      <c r="AI64" s="239"/>
      <c r="AJ64" s="239"/>
      <c r="AK64" s="239"/>
      <c r="AL64" s="239">
        <v>1</v>
      </c>
      <c r="AM64" s="239"/>
      <c r="AN64" s="239"/>
      <c r="AO64" s="239"/>
      <c r="AP64" s="239"/>
      <c r="AQ64" s="239"/>
      <c r="AR64" s="239"/>
      <c r="AS64" s="239"/>
      <c r="AT64" s="239"/>
      <c r="AU64" s="239"/>
      <c r="AV64" s="239"/>
      <c r="AW64" s="239"/>
      <c r="AX64" s="239"/>
      <c r="AY64" s="239"/>
      <c r="AZ64" s="239"/>
      <c r="BA64" s="239"/>
      <c r="BB64" s="239"/>
      <c r="BC64" s="239"/>
      <c r="BD64" s="239"/>
      <c r="BE64" s="239"/>
      <c r="BF64" s="239"/>
      <c r="BG64" s="239" t="s">
        <v>1154</v>
      </c>
      <c r="BH64" s="239"/>
    </row>
    <row r="65" spans="1:61" s="124" customFormat="1" ht="20.100000000000001" customHeight="1">
      <c r="A65" s="239">
        <v>113003</v>
      </c>
      <c r="B65" s="239">
        <v>13</v>
      </c>
      <c r="C65" s="239">
        <v>2</v>
      </c>
      <c r="D65" s="239" t="s">
        <v>1171</v>
      </c>
      <c r="E65" s="239" t="s">
        <v>1172</v>
      </c>
      <c r="F65" s="244" t="s">
        <v>1173</v>
      </c>
      <c r="G65" s="239" t="s">
        <v>1174</v>
      </c>
      <c r="H65" s="238" t="s">
        <v>1168</v>
      </c>
      <c r="I65" s="238" t="s">
        <v>1168</v>
      </c>
      <c r="J65" s="238" t="s">
        <v>1169</v>
      </c>
      <c r="K65" s="238" t="s">
        <v>1169</v>
      </c>
      <c r="L65" s="238"/>
      <c r="M65" s="238" t="s">
        <v>145</v>
      </c>
      <c r="N65" s="238" t="s">
        <v>62</v>
      </c>
      <c r="O65" s="239" t="s">
        <v>63</v>
      </c>
      <c r="P65" s="239" t="s">
        <v>64</v>
      </c>
      <c r="Q65" s="238" t="s">
        <v>1170</v>
      </c>
      <c r="R65" s="241"/>
      <c r="S65" s="238"/>
      <c r="T65" s="239">
        <v>1</v>
      </c>
      <c r="U65" s="239">
        <v>0</v>
      </c>
      <c r="V65" s="239">
        <v>0</v>
      </c>
      <c r="W65" s="239"/>
      <c r="X65" s="239"/>
      <c r="Y65" s="239"/>
      <c r="Z65" s="239"/>
      <c r="AA65" s="239"/>
      <c r="AB65" s="242" t="str">
        <f t="shared" si="10"/>
        <v>;;;;;;;;;</v>
      </c>
      <c r="AC65" s="239">
        <f>AL65</f>
        <v>9</v>
      </c>
      <c r="AD65" s="239"/>
      <c r="AE65" s="239"/>
      <c r="AF65" s="239"/>
      <c r="AG65" s="239"/>
      <c r="AH65" s="239"/>
      <c r="AI65" s="239"/>
      <c r="AJ65" s="239"/>
      <c r="AK65" s="239"/>
      <c r="AL65" s="239">
        <v>9</v>
      </c>
      <c r="AM65" s="239"/>
      <c r="AN65" s="239"/>
      <c r="AO65" s="239"/>
      <c r="AP65" s="239"/>
      <c r="AQ65" s="239"/>
      <c r="AR65" s="239"/>
      <c r="AS65" s="239"/>
      <c r="AT65" s="239"/>
      <c r="AU65" s="239"/>
      <c r="AV65" s="239"/>
      <c r="AW65" s="239"/>
      <c r="AX65" s="239"/>
      <c r="AY65" s="239"/>
      <c r="AZ65" s="239"/>
      <c r="BA65" s="239"/>
      <c r="BB65" s="239"/>
      <c r="BC65" s="239"/>
      <c r="BD65" s="239"/>
      <c r="BE65" s="239"/>
      <c r="BF65" s="239"/>
      <c r="BG65" s="239" t="s">
        <v>1154</v>
      </c>
      <c r="BH65" s="239"/>
    </row>
    <row r="66" spans="1:61" s="80" customFormat="1" ht="20.100000000000001" customHeight="1">
      <c r="A66" s="93" t="s">
        <v>162</v>
      </c>
      <c r="B66" s="76">
        <v>14</v>
      </c>
      <c r="C66" s="76">
        <v>0</v>
      </c>
      <c r="D66" s="76" t="s">
        <v>733</v>
      </c>
      <c r="E66" s="76"/>
      <c r="F66" s="81"/>
      <c r="G66" s="76" t="s">
        <v>60</v>
      </c>
      <c r="H66" s="93" t="s">
        <v>681</v>
      </c>
      <c r="I66" s="93" t="s">
        <v>681</v>
      </c>
      <c r="J66" s="93" t="s">
        <v>616</v>
      </c>
      <c r="K66" s="93" t="s">
        <v>616</v>
      </c>
      <c r="L66" s="93"/>
      <c r="M66" s="93" t="s">
        <v>61</v>
      </c>
      <c r="N66" s="93" t="s">
        <v>62</v>
      </c>
      <c r="O66" s="76" t="s">
        <v>63</v>
      </c>
      <c r="P66" s="76" t="s">
        <v>64</v>
      </c>
      <c r="Q66" s="94" t="s">
        <v>617</v>
      </c>
      <c r="R66" s="97"/>
      <c r="S66" s="93"/>
      <c r="T66" s="76">
        <v>99</v>
      </c>
      <c r="U66" s="76">
        <v>0</v>
      </c>
      <c r="V66" s="76">
        <v>0</v>
      </c>
      <c r="W66" s="76" t="s">
        <v>734</v>
      </c>
      <c r="X66" s="76" t="s">
        <v>165</v>
      </c>
      <c r="Y66" s="76" t="s">
        <v>166</v>
      </c>
      <c r="Z66" s="76"/>
      <c r="AA66" s="76"/>
      <c r="AB66" s="96" t="str">
        <f t="shared" si="10"/>
        <v>;;;;;;;;;</v>
      </c>
      <c r="AC66" s="76"/>
      <c r="AD66" s="76"/>
      <c r="AE66" s="76"/>
      <c r="AF66" s="76"/>
      <c r="AG66" s="76"/>
      <c r="AH66" s="76"/>
      <c r="AI66" s="76"/>
      <c r="AJ66" s="76"/>
      <c r="AK66" s="76"/>
      <c r="AL66" s="76"/>
      <c r="AM66" s="76"/>
      <c r="AN66" s="76"/>
      <c r="AO66" s="76"/>
      <c r="AP66" s="76"/>
      <c r="AQ66" s="76"/>
      <c r="AR66" s="76"/>
      <c r="AS66" s="76"/>
      <c r="AT66" s="76"/>
      <c r="AU66" s="76"/>
      <c r="AV66" s="76"/>
      <c r="AW66" s="74"/>
      <c r="AX66" s="74"/>
      <c r="AY66" s="74"/>
      <c r="AZ66" s="74"/>
      <c r="BA66" s="74"/>
      <c r="BB66" s="74"/>
      <c r="BC66" s="74"/>
      <c r="BD66" s="74"/>
      <c r="BE66" s="74"/>
      <c r="BF66" s="74"/>
      <c r="BG66" s="74" t="s">
        <v>619</v>
      </c>
      <c r="BH66" s="74"/>
    </row>
    <row r="67" spans="1:61" s="76" customFormat="1" ht="20.100000000000001" customHeight="1">
      <c r="A67" s="74">
        <v>116001</v>
      </c>
      <c r="B67" s="74">
        <v>16</v>
      </c>
      <c r="C67" s="74">
        <v>0</v>
      </c>
      <c r="D67" s="74" t="s">
        <v>735</v>
      </c>
      <c r="E67" s="74" t="s">
        <v>736</v>
      </c>
      <c r="F67" s="92" t="s">
        <v>375</v>
      </c>
      <c r="G67" s="74" t="s">
        <v>60</v>
      </c>
      <c r="H67" s="94" t="s">
        <v>737</v>
      </c>
      <c r="I67" s="94" t="s">
        <v>737</v>
      </c>
      <c r="J67" s="94" t="s">
        <v>1022</v>
      </c>
      <c r="K67" s="94" t="s">
        <v>1022</v>
      </c>
      <c r="L67" s="94"/>
      <c r="M67" s="94" t="s">
        <v>145</v>
      </c>
      <c r="N67" s="94" t="s">
        <v>62</v>
      </c>
      <c r="O67" s="74" t="s">
        <v>63</v>
      </c>
      <c r="P67" s="74" t="s">
        <v>64</v>
      </c>
      <c r="Q67" s="94" t="s">
        <v>617</v>
      </c>
      <c r="R67" s="97"/>
      <c r="S67" s="94"/>
      <c r="T67" s="74"/>
      <c r="U67" s="74">
        <v>0</v>
      </c>
      <c r="V67" s="74">
        <v>0</v>
      </c>
      <c r="W67" s="74"/>
      <c r="X67" s="74"/>
      <c r="Y67" s="74" t="s">
        <v>111</v>
      </c>
      <c r="Z67" s="74"/>
      <c r="AA67" s="74"/>
      <c r="AB67" s="96" t="str">
        <f t="shared" si="10"/>
        <v>;;;;;;;;;</v>
      </c>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t="s">
        <v>619</v>
      </c>
      <c r="BH67" s="74"/>
      <c r="BI67" s="80"/>
    </row>
    <row r="68" spans="1:61" s="198" customFormat="1" ht="20.100000000000001" customHeight="1">
      <c r="A68" s="172" t="s">
        <v>1149</v>
      </c>
      <c r="B68" s="182">
        <v>17</v>
      </c>
      <c r="C68" s="182">
        <v>2</v>
      </c>
      <c r="D68" s="172" t="s">
        <v>1150</v>
      </c>
      <c r="E68" s="172" t="s">
        <v>1151</v>
      </c>
      <c r="F68" s="187" t="s">
        <v>1152</v>
      </c>
      <c r="G68" s="182" t="s">
        <v>60</v>
      </c>
      <c r="H68" s="172" t="s">
        <v>1211</v>
      </c>
      <c r="I68" s="172" t="s">
        <v>1211</v>
      </c>
      <c r="J68" s="172" t="s">
        <v>1212</v>
      </c>
      <c r="K68" s="172" t="s">
        <v>1200</v>
      </c>
      <c r="L68" s="172"/>
      <c r="M68" s="172" t="s">
        <v>61</v>
      </c>
      <c r="N68" s="172" t="s">
        <v>62</v>
      </c>
      <c r="O68" s="182" t="s">
        <v>63</v>
      </c>
      <c r="P68" s="182" t="s">
        <v>64</v>
      </c>
      <c r="Q68" s="172" t="s">
        <v>1153</v>
      </c>
      <c r="R68" s="188"/>
      <c r="S68" s="172"/>
      <c r="T68" s="182">
        <v>0</v>
      </c>
      <c r="U68" s="182">
        <v>0</v>
      </c>
      <c r="V68" s="182">
        <v>0</v>
      </c>
      <c r="W68" s="182"/>
      <c r="X68" s="182" t="s">
        <v>65</v>
      </c>
      <c r="Y68" s="182"/>
      <c r="Z68" s="182"/>
      <c r="AA68" s="182"/>
      <c r="AB68" s="190" t="str">
        <f t="shared" si="10"/>
        <v>;;;;;;;3160100:300;;</v>
      </c>
      <c r="AC68" s="182">
        <v>600001</v>
      </c>
      <c r="AD68" s="172"/>
      <c r="AE68" s="182"/>
      <c r="AF68" s="182"/>
      <c r="AG68" s="182"/>
      <c r="AH68" s="182"/>
      <c r="AI68" s="182"/>
      <c r="AJ68" s="182"/>
      <c r="AK68" s="182"/>
      <c r="AL68" s="182"/>
      <c r="AM68" s="182">
        <v>600001</v>
      </c>
      <c r="AN68" s="182"/>
      <c r="AO68" s="182"/>
      <c r="AP68" s="182"/>
      <c r="AQ68" s="182"/>
      <c r="AR68" s="182"/>
      <c r="AS68" s="182"/>
      <c r="AT68" s="182"/>
      <c r="AU68" s="182"/>
      <c r="AV68" s="182"/>
      <c r="AW68" s="206"/>
      <c r="AX68" s="206"/>
      <c r="AY68" s="206"/>
      <c r="AZ68" s="206"/>
      <c r="BA68" s="206"/>
      <c r="BB68" s="206"/>
      <c r="BC68" s="206"/>
      <c r="BD68" s="206" t="s">
        <v>738</v>
      </c>
      <c r="BE68" s="206"/>
      <c r="BF68" s="206"/>
      <c r="BG68" s="182" t="s">
        <v>1154</v>
      </c>
      <c r="BH68" s="182">
        <v>117003</v>
      </c>
    </row>
    <row r="69" spans="1:61" s="116" customFormat="1" ht="20.100000000000001" customHeight="1">
      <c r="A69" s="93" t="s">
        <v>172</v>
      </c>
      <c r="B69" s="76">
        <v>18</v>
      </c>
      <c r="C69" s="76">
        <v>1</v>
      </c>
      <c r="D69" s="76" t="s">
        <v>739</v>
      </c>
      <c r="E69" s="76"/>
      <c r="F69" s="81"/>
      <c r="G69" s="76" t="s">
        <v>740</v>
      </c>
      <c r="H69" s="93" t="s">
        <v>681</v>
      </c>
      <c r="I69" s="93" t="s">
        <v>681</v>
      </c>
      <c r="J69" s="93" t="s">
        <v>616</v>
      </c>
      <c r="K69" s="93" t="s">
        <v>616</v>
      </c>
      <c r="L69" s="93"/>
      <c r="M69" s="93" t="s">
        <v>61</v>
      </c>
      <c r="N69" s="93" t="s">
        <v>62</v>
      </c>
      <c r="O69" s="76" t="s">
        <v>63</v>
      </c>
      <c r="P69" s="76" t="s">
        <v>64</v>
      </c>
      <c r="Q69" s="94" t="s">
        <v>617</v>
      </c>
      <c r="R69" s="97">
        <v>1105</v>
      </c>
      <c r="S69" s="93"/>
      <c r="T69" s="76">
        <v>2</v>
      </c>
      <c r="U69" s="76">
        <v>0</v>
      </c>
      <c r="V69" s="76">
        <v>0</v>
      </c>
      <c r="W69" s="76" t="s">
        <v>741</v>
      </c>
      <c r="X69" s="76" t="s">
        <v>165</v>
      </c>
      <c r="Y69" s="76" t="s">
        <v>166</v>
      </c>
      <c r="Z69" s="76"/>
      <c r="AA69" s="76"/>
      <c r="AB69" s="96" t="str">
        <f>CONCATENATE(AW69,BG69,AX69,BG69,AY69,BG69,AZ69,BG69,BA69,BG69,BB69,BG69,BC69,BG69,BD69,BG69,BE69,BG69,BF69)</f>
        <v>;;;;;;;;;</v>
      </c>
      <c r="AC69" s="76"/>
      <c r="AD69" s="76"/>
      <c r="AE69" s="76"/>
      <c r="AF69" s="76"/>
      <c r="AG69" s="76"/>
      <c r="AH69" s="76"/>
      <c r="AI69" s="76"/>
      <c r="AJ69" s="76"/>
      <c r="AK69" s="76"/>
      <c r="AL69" s="76"/>
      <c r="AM69" s="76"/>
      <c r="AN69" s="76"/>
      <c r="AO69" s="76"/>
      <c r="AP69" s="76"/>
      <c r="AQ69" s="76"/>
      <c r="AR69" s="76"/>
      <c r="AS69" s="76"/>
      <c r="AT69" s="76"/>
      <c r="AU69" s="76"/>
      <c r="AV69" s="76"/>
      <c r="AW69" s="74"/>
      <c r="AX69" s="74"/>
      <c r="AY69" s="74"/>
      <c r="AZ69" s="74"/>
      <c r="BA69" s="74"/>
      <c r="BB69" s="74"/>
      <c r="BC69" s="74"/>
      <c r="BD69" s="74"/>
      <c r="BE69" s="74"/>
      <c r="BF69" s="74"/>
      <c r="BG69" s="74" t="s">
        <v>619</v>
      </c>
      <c r="BH69" s="74"/>
      <c r="BI69" s="80"/>
    </row>
    <row r="70" spans="1:61" s="116" customFormat="1" ht="20.100000000000001" customHeight="1">
      <c r="A70" s="93" t="s">
        <v>742</v>
      </c>
      <c r="B70" s="76">
        <v>18</v>
      </c>
      <c r="C70" s="76">
        <v>2</v>
      </c>
      <c r="D70" s="76" t="s">
        <v>743</v>
      </c>
      <c r="E70" s="76"/>
      <c r="F70" s="81"/>
      <c r="G70" s="76" t="s">
        <v>744</v>
      </c>
      <c r="H70" s="93" t="s">
        <v>681</v>
      </c>
      <c r="I70" s="93" t="s">
        <v>681</v>
      </c>
      <c r="J70" s="93" t="s">
        <v>616</v>
      </c>
      <c r="K70" s="93" t="s">
        <v>616</v>
      </c>
      <c r="L70" s="93"/>
      <c r="M70" s="93" t="s">
        <v>61</v>
      </c>
      <c r="N70" s="93" t="s">
        <v>62</v>
      </c>
      <c r="O70" s="76" t="s">
        <v>63</v>
      </c>
      <c r="P70" s="76" t="s">
        <v>64</v>
      </c>
      <c r="Q70" s="94" t="s">
        <v>617</v>
      </c>
      <c r="R70" s="97">
        <v>1204</v>
      </c>
      <c r="S70" s="93"/>
      <c r="T70" s="76">
        <v>2</v>
      </c>
      <c r="U70" s="76">
        <v>0</v>
      </c>
      <c r="V70" s="76">
        <v>0</v>
      </c>
      <c r="W70" s="76" t="s">
        <v>745</v>
      </c>
      <c r="X70" s="76" t="s">
        <v>165</v>
      </c>
      <c r="Y70" s="76" t="s">
        <v>166</v>
      </c>
      <c r="Z70" s="76"/>
      <c r="AA70" s="76"/>
      <c r="AB70" s="96" t="str">
        <f t="shared" si="10"/>
        <v>;;;;;;;;;</v>
      </c>
      <c r="AC70" s="76"/>
      <c r="AD70" s="76"/>
      <c r="AE70" s="76"/>
      <c r="AF70" s="76"/>
      <c r="AG70" s="76"/>
      <c r="AH70" s="76"/>
      <c r="AI70" s="76"/>
      <c r="AJ70" s="76"/>
      <c r="AK70" s="76"/>
      <c r="AL70" s="76"/>
      <c r="AM70" s="76"/>
      <c r="AN70" s="76"/>
      <c r="AO70" s="76"/>
      <c r="AP70" s="76"/>
      <c r="AQ70" s="76"/>
      <c r="AR70" s="76"/>
      <c r="AS70" s="76"/>
      <c r="AT70" s="76"/>
      <c r="AU70" s="76"/>
      <c r="AV70" s="76"/>
      <c r="AW70" s="74"/>
      <c r="AX70" s="74"/>
      <c r="AY70" s="74"/>
      <c r="AZ70" s="74"/>
      <c r="BA70" s="74"/>
      <c r="BB70" s="74"/>
      <c r="BC70" s="74"/>
      <c r="BD70" s="74"/>
      <c r="BE70" s="74"/>
      <c r="BF70" s="74"/>
      <c r="BG70" s="74" t="s">
        <v>619</v>
      </c>
      <c r="BH70" s="74"/>
      <c r="BI70" s="80"/>
    </row>
    <row r="71" spans="1:61" s="77" customFormat="1" ht="20.100000000000001" customHeight="1">
      <c r="A71" s="93" t="s">
        <v>746</v>
      </c>
      <c r="B71" s="76">
        <v>18</v>
      </c>
      <c r="C71" s="76">
        <v>3</v>
      </c>
      <c r="D71" s="76" t="s">
        <v>747</v>
      </c>
      <c r="E71" s="76"/>
      <c r="F71" s="81"/>
      <c r="G71" s="76" t="s">
        <v>748</v>
      </c>
      <c r="H71" s="93" t="s">
        <v>681</v>
      </c>
      <c r="I71" s="93" t="s">
        <v>681</v>
      </c>
      <c r="J71" s="93" t="s">
        <v>616</v>
      </c>
      <c r="K71" s="93" t="s">
        <v>616</v>
      </c>
      <c r="L71" s="93"/>
      <c r="M71" s="93" t="s">
        <v>61</v>
      </c>
      <c r="N71" s="93" t="s">
        <v>62</v>
      </c>
      <c r="O71" s="76" t="s">
        <v>63</v>
      </c>
      <c r="P71" s="76" t="s">
        <v>64</v>
      </c>
      <c r="Q71" s="94" t="s">
        <v>617</v>
      </c>
      <c r="R71" s="97">
        <v>1103</v>
      </c>
      <c r="S71" s="93"/>
      <c r="T71" s="76">
        <v>2</v>
      </c>
      <c r="U71" s="76">
        <v>0</v>
      </c>
      <c r="V71" s="76">
        <v>0</v>
      </c>
      <c r="W71" s="76" t="s">
        <v>749</v>
      </c>
      <c r="X71" s="76" t="s">
        <v>165</v>
      </c>
      <c r="Y71" s="76" t="s">
        <v>166</v>
      </c>
      <c r="Z71" s="76"/>
      <c r="AA71" s="76"/>
      <c r="AB71" s="96" t="str">
        <f t="shared" ref="AB71:AB140" si="11">CONCATENATE(AW71,BG71,AX71,BG71,AY71,BG71,AZ71,BG71,BA71,BG71,BB71,BG71,BC71,BG71,BD71,BG71,BE71,BG71,BF71)</f>
        <v>;;;;;;;;;</v>
      </c>
      <c r="AC71" s="76"/>
      <c r="AD71" s="76"/>
      <c r="AE71" s="76"/>
      <c r="AF71" s="76"/>
      <c r="AG71" s="76"/>
      <c r="AH71" s="76"/>
      <c r="AI71" s="76"/>
      <c r="AJ71" s="76"/>
      <c r="AK71" s="76"/>
      <c r="AL71" s="76"/>
      <c r="AM71" s="76"/>
      <c r="AN71" s="76"/>
      <c r="AO71" s="76"/>
      <c r="AP71" s="76"/>
      <c r="AQ71" s="76"/>
      <c r="AR71" s="76"/>
      <c r="AS71" s="76"/>
      <c r="AT71" s="76"/>
      <c r="AU71" s="76"/>
      <c r="AV71" s="76"/>
      <c r="AW71" s="74"/>
      <c r="AX71" s="74"/>
      <c r="AY71" s="74"/>
      <c r="AZ71" s="74"/>
      <c r="BA71" s="74"/>
      <c r="BB71" s="74"/>
      <c r="BC71" s="74"/>
      <c r="BD71" s="74"/>
      <c r="BE71" s="74"/>
      <c r="BF71" s="74"/>
      <c r="BG71" s="74" t="s">
        <v>619</v>
      </c>
      <c r="BH71" s="74"/>
    </row>
    <row r="72" spans="1:61" s="77" customFormat="1" ht="20.100000000000001" customHeight="1">
      <c r="A72" s="93" t="s">
        <v>750</v>
      </c>
      <c r="B72" s="76">
        <v>18</v>
      </c>
      <c r="C72" s="76">
        <v>4</v>
      </c>
      <c r="D72" s="76" t="s">
        <v>751</v>
      </c>
      <c r="E72" s="76"/>
      <c r="F72" s="81"/>
      <c r="G72" s="76" t="s">
        <v>752</v>
      </c>
      <c r="H72" s="93" t="s">
        <v>681</v>
      </c>
      <c r="I72" s="93" t="s">
        <v>681</v>
      </c>
      <c r="J72" s="93" t="s">
        <v>616</v>
      </c>
      <c r="K72" s="93" t="s">
        <v>616</v>
      </c>
      <c r="L72" s="93"/>
      <c r="M72" s="93" t="s">
        <v>61</v>
      </c>
      <c r="N72" s="93" t="s">
        <v>62</v>
      </c>
      <c r="O72" s="76" t="s">
        <v>63</v>
      </c>
      <c r="P72" s="76" t="s">
        <v>64</v>
      </c>
      <c r="Q72" s="94" t="s">
        <v>210</v>
      </c>
      <c r="R72" s="97">
        <v>1111</v>
      </c>
      <c r="S72" s="93"/>
      <c r="T72" s="76">
        <v>2</v>
      </c>
      <c r="U72" s="76">
        <v>0</v>
      </c>
      <c r="V72" s="76">
        <v>0</v>
      </c>
      <c r="W72" s="76" t="s">
        <v>753</v>
      </c>
      <c r="X72" s="76" t="s">
        <v>165</v>
      </c>
      <c r="Y72" s="76" t="s">
        <v>166</v>
      </c>
      <c r="Z72" s="76"/>
      <c r="AA72" s="76"/>
      <c r="AB72" s="96" t="str">
        <f t="shared" si="11"/>
        <v>;;;;;;;;;</v>
      </c>
      <c r="AC72" s="76"/>
      <c r="AD72" s="76"/>
      <c r="AE72" s="76"/>
      <c r="AF72" s="76"/>
      <c r="AG72" s="76"/>
      <c r="AH72" s="76"/>
      <c r="AI72" s="76"/>
      <c r="AJ72" s="76"/>
      <c r="AK72" s="76"/>
      <c r="AL72" s="76"/>
      <c r="AM72" s="76"/>
      <c r="AN72" s="76"/>
      <c r="AO72" s="76"/>
      <c r="AP72" s="76"/>
      <c r="AQ72" s="76"/>
      <c r="AR72" s="76"/>
      <c r="AS72" s="76"/>
      <c r="AT72" s="76"/>
      <c r="AU72" s="76"/>
      <c r="AV72" s="76"/>
      <c r="AW72" s="74"/>
      <c r="AX72" s="74"/>
      <c r="AY72" s="74"/>
      <c r="AZ72" s="74"/>
      <c r="BA72" s="74"/>
      <c r="BB72" s="74"/>
      <c r="BC72" s="74"/>
      <c r="BD72" s="74"/>
      <c r="BE72" s="74"/>
      <c r="BF72" s="74"/>
      <c r="BG72" s="74" t="s">
        <v>619</v>
      </c>
      <c r="BH72" s="74"/>
    </row>
    <row r="73" spans="1:61" s="312" customFormat="1" ht="20.100000000000001" customHeight="1">
      <c r="A73" s="305" t="s">
        <v>754</v>
      </c>
      <c r="B73" s="306">
        <v>19</v>
      </c>
      <c r="C73" s="306">
        <v>2</v>
      </c>
      <c r="D73" s="306" t="s">
        <v>755</v>
      </c>
      <c r="E73" s="306" t="s">
        <v>756</v>
      </c>
      <c r="F73" s="307"/>
      <c r="G73" s="306" t="s">
        <v>757</v>
      </c>
      <c r="H73" s="305" t="s">
        <v>758</v>
      </c>
      <c r="I73" s="305" t="s">
        <v>758</v>
      </c>
      <c r="J73" s="305" t="s">
        <v>668</v>
      </c>
      <c r="K73" s="305" t="s">
        <v>668</v>
      </c>
      <c r="L73" s="305"/>
      <c r="M73" s="305" t="s">
        <v>61</v>
      </c>
      <c r="N73" s="305" t="s">
        <v>62</v>
      </c>
      <c r="O73" s="306" t="s">
        <v>63</v>
      </c>
      <c r="P73" s="306" t="s">
        <v>64</v>
      </c>
      <c r="Q73" s="308" t="s">
        <v>684</v>
      </c>
      <c r="R73" s="309"/>
      <c r="S73" s="305"/>
      <c r="T73" s="306">
        <v>3</v>
      </c>
      <c r="U73" s="306">
        <v>0</v>
      </c>
      <c r="V73" s="306">
        <v>0</v>
      </c>
      <c r="W73" s="306">
        <v>5700</v>
      </c>
      <c r="X73" s="306"/>
      <c r="Y73" s="306"/>
      <c r="Z73" s="306"/>
      <c r="AA73" s="306"/>
      <c r="AB73" s="310" t="str">
        <f t="shared" si="11"/>
        <v>;;;;;;;;;</v>
      </c>
      <c r="AC73" s="306">
        <v>5</v>
      </c>
      <c r="AD73" s="306">
        <v>50</v>
      </c>
      <c r="AE73" s="306"/>
      <c r="AF73" s="306"/>
      <c r="AG73" s="306"/>
      <c r="AH73" s="306"/>
      <c r="AI73" s="306"/>
      <c r="AJ73" s="306"/>
      <c r="AK73" s="306"/>
      <c r="AL73" s="306"/>
      <c r="AM73" s="306"/>
      <c r="AN73" s="306"/>
      <c r="AO73" s="306"/>
      <c r="AP73" s="306"/>
      <c r="AQ73" s="306"/>
      <c r="AR73" s="306"/>
      <c r="AS73" s="306"/>
      <c r="AT73" s="306"/>
      <c r="AU73" s="306"/>
      <c r="AV73" s="306"/>
      <c r="AW73" s="311"/>
      <c r="AX73" s="311"/>
      <c r="AY73" s="311"/>
      <c r="AZ73" s="311"/>
      <c r="BA73" s="311"/>
      <c r="BB73" s="311"/>
      <c r="BC73" s="311"/>
      <c r="BD73" s="311"/>
      <c r="BE73" s="311"/>
      <c r="BF73" s="311"/>
      <c r="BG73" s="311" t="s">
        <v>619</v>
      </c>
      <c r="BH73" s="311"/>
    </row>
    <row r="74" spans="1:61" s="312" customFormat="1" ht="20.100000000000001" customHeight="1">
      <c r="A74" s="305" t="s">
        <v>759</v>
      </c>
      <c r="B74" s="306">
        <v>19</v>
      </c>
      <c r="C74" s="306">
        <v>2</v>
      </c>
      <c r="D74" s="306" t="s">
        <v>760</v>
      </c>
      <c r="E74" s="306" t="s">
        <v>761</v>
      </c>
      <c r="F74" s="307"/>
      <c r="G74" s="306" t="s">
        <v>762</v>
      </c>
      <c r="H74" s="305" t="s">
        <v>758</v>
      </c>
      <c r="I74" s="305" t="s">
        <v>758</v>
      </c>
      <c r="J74" s="305" t="s">
        <v>668</v>
      </c>
      <c r="K74" s="305" t="s">
        <v>668</v>
      </c>
      <c r="L74" s="305"/>
      <c r="M74" s="305" t="s">
        <v>61</v>
      </c>
      <c r="N74" s="305" t="s">
        <v>62</v>
      </c>
      <c r="O74" s="306" t="s">
        <v>63</v>
      </c>
      <c r="P74" s="306" t="s">
        <v>64</v>
      </c>
      <c r="Q74" s="308" t="s">
        <v>684</v>
      </c>
      <c r="R74" s="309"/>
      <c r="S74" s="305"/>
      <c r="T74" s="306">
        <v>1</v>
      </c>
      <c r="U74" s="306">
        <v>0</v>
      </c>
      <c r="V74" s="306">
        <v>0</v>
      </c>
      <c r="W74" s="306">
        <v>5701</v>
      </c>
      <c r="X74" s="306"/>
      <c r="Y74" s="306"/>
      <c r="Z74" s="306"/>
      <c r="AA74" s="306"/>
      <c r="AB74" s="310" t="str">
        <f t="shared" si="11"/>
        <v>;;;;;;;;;</v>
      </c>
      <c r="AC74" s="306">
        <v>2</v>
      </c>
      <c r="AD74" s="306">
        <v>100</v>
      </c>
      <c r="AE74" s="306"/>
      <c r="AF74" s="306"/>
      <c r="AG74" s="306"/>
      <c r="AH74" s="306"/>
      <c r="AI74" s="306"/>
      <c r="AJ74" s="306"/>
      <c r="AK74" s="306"/>
      <c r="AL74" s="306"/>
      <c r="AM74" s="306"/>
      <c r="AN74" s="306"/>
      <c r="AO74" s="306"/>
      <c r="AP74" s="306"/>
      <c r="AQ74" s="306"/>
      <c r="AR74" s="306"/>
      <c r="AS74" s="306"/>
      <c r="AT74" s="306"/>
      <c r="AU74" s="306"/>
      <c r="AV74" s="306"/>
      <c r="AW74" s="311"/>
      <c r="AX74" s="311"/>
      <c r="AY74" s="311"/>
      <c r="AZ74" s="311"/>
      <c r="BA74" s="311"/>
      <c r="BB74" s="311"/>
      <c r="BC74" s="311"/>
      <c r="BD74" s="311"/>
      <c r="BE74" s="311"/>
      <c r="BF74" s="311"/>
      <c r="BG74" s="311" t="s">
        <v>619</v>
      </c>
      <c r="BH74" s="311"/>
    </row>
    <row r="75" spans="1:61" s="77" customFormat="1" ht="20.100000000000001" customHeight="1">
      <c r="A75" s="93" t="s">
        <v>179</v>
      </c>
      <c r="B75" s="76">
        <v>20</v>
      </c>
      <c r="C75" s="76">
        <v>0</v>
      </c>
      <c r="D75" s="76" t="s">
        <v>557</v>
      </c>
      <c r="E75" s="76"/>
      <c r="F75" s="81"/>
      <c r="G75" s="76" t="s">
        <v>60</v>
      </c>
      <c r="H75" s="93" t="s">
        <v>558</v>
      </c>
      <c r="I75" s="93" t="s">
        <v>558</v>
      </c>
      <c r="J75" s="93" t="s">
        <v>556</v>
      </c>
      <c r="K75" s="93" t="s">
        <v>556</v>
      </c>
      <c r="L75" s="93"/>
      <c r="M75" s="93" t="s">
        <v>61</v>
      </c>
      <c r="N75" s="93" t="s">
        <v>62</v>
      </c>
      <c r="O75" s="76" t="s">
        <v>63</v>
      </c>
      <c r="P75" s="76" t="s">
        <v>64</v>
      </c>
      <c r="Q75" s="94" t="s">
        <v>210</v>
      </c>
      <c r="R75" s="98">
        <v>1213</v>
      </c>
      <c r="S75" s="93"/>
      <c r="T75" s="76">
        <v>5</v>
      </c>
      <c r="U75" s="76">
        <v>0</v>
      </c>
      <c r="V75" s="76">
        <v>0</v>
      </c>
      <c r="W75" s="76" t="s">
        <v>763</v>
      </c>
      <c r="X75" s="76" t="s">
        <v>165</v>
      </c>
      <c r="Y75" s="76" t="s">
        <v>166</v>
      </c>
      <c r="Z75" s="76"/>
      <c r="AA75" s="76"/>
      <c r="AB75" s="96" t="s">
        <v>467</v>
      </c>
      <c r="AC75" s="76"/>
      <c r="AD75" s="76"/>
      <c r="AE75" s="76"/>
      <c r="AF75" s="76"/>
      <c r="AG75" s="76"/>
      <c r="AH75" s="76"/>
      <c r="AI75" s="76"/>
      <c r="AJ75" s="76"/>
      <c r="AK75" s="76"/>
      <c r="AL75" s="76"/>
      <c r="AM75" s="76"/>
      <c r="AN75" s="76"/>
      <c r="AO75" s="76"/>
      <c r="AP75" s="76"/>
      <c r="AQ75" s="76"/>
      <c r="AR75" s="76"/>
      <c r="AS75" s="76"/>
      <c r="AT75" s="76"/>
      <c r="AU75" s="76"/>
      <c r="AV75" s="76"/>
      <c r="AW75" s="74"/>
      <c r="AX75" s="74"/>
      <c r="AY75" s="74"/>
      <c r="AZ75" s="74"/>
      <c r="BA75" s="74"/>
      <c r="BB75" s="74"/>
      <c r="BC75" s="74"/>
      <c r="BD75" s="74"/>
      <c r="BE75" s="74"/>
      <c r="BF75" s="74"/>
      <c r="BG75" s="74" t="s">
        <v>619</v>
      </c>
      <c r="BH75" s="74"/>
    </row>
    <row r="76" spans="1:61" s="198" customFormat="1" ht="20.100000000000001" customHeight="1">
      <c r="A76" s="172" t="s">
        <v>764</v>
      </c>
      <c r="B76" s="182">
        <v>21</v>
      </c>
      <c r="C76" s="182">
        <v>1</v>
      </c>
      <c r="D76" s="172" t="s">
        <v>499</v>
      </c>
      <c r="E76" s="172" t="s">
        <v>765</v>
      </c>
      <c r="F76" s="187"/>
      <c r="G76" s="182" t="s">
        <v>766</v>
      </c>
      <c r="H76" s="172" t="s">
        <v>1213</v>
      </c>
      <c r="I76" s="172" t="s">
        <v>1213</v>
      </c>
      <c r="J76" s="172" t="s">
        <v>1211</v>
      </c>
      <c r="K76" s="172" t="s">
        <v>1211</v>
      </c>
      <c r="L76" s="172"/>
      <c r="M76" s="172" t="s">
        <v>61</v>
      </c>
      <c r="N76" s="172" t="s">
        <v>62</v>
      </c>
      <c r="O76" s="182" t="s">
        <v>63</v>
      </c>
      <c r="P76" s="182" t="s">
        <v>64</v>
      </c>
      <c r="Q76" s="172" t="s">
        <v>273</v>
      </c>
      <c r="R76" s="188"/>
      <c r="S76" s="172"/>
      <c r="T76" s="182">
        <v>1</v>
      </c>
      <c r="U76" s="182">
        <v>0</v>
      </c>
      <c r="V76" s="182">
        <v>0</v>
      </c>
      <c r="W76" s="182"/>
      <c r="X76" s="182"/>
      <c r="Y76" s="182"/>
      <c r="Z76" s="182"/>
      <c r="AA76" s="182"/>
      <c r="AB76" s="190" t="str">
        <f t="shared" si="11"/>
        <v>30000;;200;;;;;3170000:1;;</v>
      </c>
      <c r="AC76" s="182">
        <v>1</v>
      </c>
      <c r="AD76" s="182"/>
      <c r="AE76" s="182"/>
      <c r="AF76" s="182"/>
      <c r="AG76" s="182"/>
      <c r="AH76" s="182"/>
      <c r="AI76" s="182">
        <v>1</v>
      </c>
      <c r="AJ76" s="182"/>
      <c r="AK76" s="182"/>
      <c r="AL76" s="182"/>
      <c r="AM76" s="182"/>
      <c r="AN76" s="182"/>
      <c r="AO76" s="182"/>
      <c r="AP76" s="182"/>
      <c r="AQ76" s="182"/>
      <c r="AR76" s="182"/>
      <c r="AS76" s="182"/>
      <c r="AT76" s="182"/>
      <c r="AU76" s="182"/>
      <c r="AV76" s="182"/>
      <c r="AW76" s="256">
        <v>30000</v>
      </c>
      <c r="AX76" s="256"/>
      <c r="AY76" s="256">
        <v>200</v>
      </c>
      <c r="AZ76" s="256"/>
      <c r="BA76" s="256"/>
      <c r="BB76" s="256"/>
      <c r="BC76" s="256"/>
      <c r="BD76" s="256" t="s">
        <v>1071</v>
      </c>
      <c r="BE76" s="257"/>
      <c r="BF76" s="257"/>
      <c r="BG76" s="182" t="s">
        <v>619</v>
      </c>
      <c r="BH76" s="182">
        <v>100060</v>
      </c>
    </row>
    <row r="77" spans="1:61" s="198" customFormat="1" ht="20.100000000000001" customHeight="1">
      <c r="A77" s="172" t="s">
        <v>1146</v>
      </c>
      <c r="B77" s="182">
        <v>21</v>
      </c>
      <c r="C77" s="182">
        <v>1</v>
      </c>
      <c r="D77" s="172" t="s">
        <v>499</v>
      </c>
      <c r="E77" s="172" t="s">
        <v>988</v>
      </c>
      <c r="F77" s="187"/>
      <c r="G77" s="182" t="s">
        <v>766</v>
      </c>
      <c r="H77" s="172" t="s">
        <v>1213</v>
      </c>
      <c r="I77" s="172" t="s">
        <v>1213</v>
      </c>
      <c r="J77" s="172" t="s">
        <v>1211</v>
      </c>
      <c r="K77" s="172" t="s">
        <v>1211</v>
      </c>
      <c r="L77" s="172"/>
      <c r="M77" s="172" t="s">
        <v>61</v>
      </c>
      <c r="N77" s="172" t="s">
        <v>62</v>
      </c>
      <c r="O77" s="182" t="s">
        <v>63</v>
      </c>
      <c r="P77" s="182" t="s">
        <v>64</v>
      </c>
      <c r="Q77" s="172" t="s">
        <v>273</v>
      </c>
      <c r="R77" s="188"/>
      <c r="S77" s="172"/>
      <c r="T77" s="182">
        <v>1</v>
      </c>
      <c r="U77" s="182">
        <v>0</v>
      </c>
      <c r="V77" s="182">
        <v>0</v>
      </c>
      <c r="W77" s="182"/>
      <c r="X77" s="182"/>
      <c r="Y77" s="182"/>
      <c r="Z77" s="182"/>
      <c r="AA77" s="182"/>
      <c r="AB77" s="190" t="str">
        <f t="shared" si="11"/>
        <v>;;1000;;;;;3020100:2|3040000:100|4040005:10;;</v>
      </c>
      <c r="AC77" s="182">
        <v>1600</v>
      </c>
      <c r="AD77" s="182"/>
      <c r="AE77" s="182"/>
      <c r="AF77" s="182"/>
      <c r="AG77" s="182"/>
      <c r="AH77" s="182"/>
      <c r="AI77" s="182">
        <v>1600</v>
      </c>
      <c r="AJ77" s="182"/>
      <c r="AK77" s="182"/>
      <c r="AL77" s="182"/>
      <c r="AM77" s="182"/>
      <c r="AN77" s="182"/>
      <c r="AO77" s="182"/>
      <c r="AP77" s="182"/>
      <c r="AQ77" s="182"/>
      <c r="AR77" s="182"/>
      <c r="AS77" s="182"/>
      <c r="AT77" s="182"/>
      <c r="AU77" s="182"/>
      <c r="AV77" s="182"/>
      <c r="AW77" s="256"/>
      <c r="AX77" s="256"/>
      <c r="AY77" s="256">
        <v>1000</v>
      </c>
      <c r="AZ77" s="256"/>
      <c r="BA77" s="256"/>
      <c r="BB77" s="256"/>
      <c r="BC77" s="256"/>
      <c r="BD77" s="256" t="s">
        <v>1072</v>
      </c>
      <c r="BE77" s="257"/>
      <c r="BF77" s="257"/>
      <c r="BG77" s="182" t="s">
        <v>633</v>
      </c>
      <c r="BH77" s="182">
        <v>100061</v>
      </c>
    </row>
    <row r="78" spans="1:61" s="198" customFormat="1" ht="20.100000000000001" customHeight="1">
      <c r="A78" s="172" t="s">
        <v>767</v>
      </c>
      <c r="B78" s="182">
        <v>21</v>
      </c>
      <c r="C78" s="182">
        <v>1</v>
      </c>
      <c r="D78" s="172" t="s">
        <v>499</v>
      </c>
      <c r="E78" s="172" t="s">
        <v>989</v>
      </c>
      <c r="F78" s="187"/>
      <c r="G78" s="182" t="s">
        <v>766</v>
      </c>
      <c r="H78" s="172" t="s">
        <v>1213</v>
      </c>
      <c r="I78" s="172" t="s">
        <v>1213</v>
      </c>
      <c r="J78" s="172" t="s">
        <v>1211</v>
      </c>
      <c r="K78" s="172" t="s">
        <v>1211</v>
      </c>
      <c r="L78" s="172"/>
      <c r="M78" s="172" t="s">
        <v>61</v>
      </c>
      <c r="N78" s="172" t="s">
        <v>62</v>
      </c>
      <c r="O78" s="182" t="s">
        <v>63</v>
      </c>
      <c r="P78" s="182" t="s">
        <v>64</v>
      </c>
      <c r="Q78" s="172" t="s">
        <v>273</v>
      </c>
      <c r="R78" s="188"/>
      <c r="S78" s="172"/>
      <c r="T78" s="182">
        <v>1</v>
      </c>
      <c r="U78" s="182">
        <v>0</v>
      </c>
      <c r="V78" s="182">
        <v>0</v>
      </c>
      <c r="W78" s="182"/>
      <c r="X78" s="182"/>
      <c r="Y78" s="182"/>
      <c r="Z78" s="182"/>
      <c r="AA78" s="182"/>
      <c r="AB78" s="190" t="str">
        <f t="shared" si="11"/>
        <v>;;2000;;;;;3020101:2|3040000:200|4040010:10;;</v>
      </c>
      <c r="AC78" s="182">
        <v>3000</v>
      </c>
      <c r="AD78" s="182"/>
      <c r="AE78" s="182"/>
      <c r="AF78" s="182"/>
      <c r="AG78" s="182"/>
      <c r="AH78" s="182"/>
      <c r="AI78" s="182">
        <v>3000</v>
      </c>
      <c r="AJ78" s="182"/>
      <c r="AK78" s="182"/>
      <c r="AL78" s="182"/>
      <c r="AM78" s="182"/>
      <c r="AN78" s="182"/>
      <c r="AO78" s="182"/>
      <c r="AP78" s="182"/>
      <c r="AQ78" s="182"/>
      <c r="AR78" s="182"/>
      <c r="AS78" s="182"/>
      <c r="AT78" s="182"/>
      <c r="AU78" s="182"/>
      <c r="AV78" s="182"/>
      <c r="AW78" s="256"/>
      <c r="AX78" s="256"/>
      <c r="AY78" s="256">
        <v>2000</v>
      </c>
      <c r="AZ78" s="256"/>
      <c r="BA78" s="256"/>
      <c r="BB78" s="256"/>
      <c r="BC78" s="256"/>
      <c r="BD78" s="256" t="s">
        <v>1073</v>
      </c>
      <c r="BE78" s="257"/>
      <c r="BF78" s="257"/>
      <c r="BG78" s="182" t="s">
        <v>633</v>
      </c>
      <c r="BH78" s="182">
        <v>100062</v>
      </c>
    </row>
    <row r="79" spans="1:61" s="198" customFormat="1" ht="20.100000000000001" customHeight="1">
      <c r="A79" s="172" t="s">
        <v>768</v>
      </c>
      <c r="B79" s="182">
        <v>21</v>
      </c>
      <c r="C79" s="182">
        <v>1</v>
      </c>
      <c r="D79" s="172" t="s">
        <v>499</v>
      </c>
      <c r="E79" s="172" t="s">
        <v>1147</v>
      </c>
      <c r="F79" s="187"/>
      <c r="G79" s="182" t="s">
        <v>766</v>
      </c>
      <c r="H79" s="172" t="s">
        <v>1213</v>
      </c>
      <c r="I79" s="172" t="s">
        <v>1213</v>
      </c>
      <c r="J79" s="172" t="s">
        <v>1211</v>
      </c>
      <c r="K79" s="172" t="s">
        <v>1211</v>
      </c>
      <c r="L79" s="172"/>
      <c r="M79" s="172" t="s">
        <v>61</v>
      </c>
      <c r="N79" s="172" t="s">
        <v>62</v>
      </c>
      <c r="O79" s="182" t="s">
        <v>63</v>
      </c>
      <c r="P79" s="182" t="s">
        <v>64</v>
      </c>
      <c r="Q79" s="172" t="s">
        <v>273</v>
      </c>
      <c r="R79" s="188"/>
      <c r="S79" s="172"/>
      <c r="T79" s="182">
        <v>1</v>
      </c>
      <c r="U79" s="182">
        <v>0</v>
      </c>
      <c r="V79" s="182">
        <v>0</v>
      </c>
      <c r="W79" s="182"/>
      <c r="X79" s="182"/>
      <c r="Y79" s="182"/>
      <c r="Z79" s="182"/>
      <c r="AA79" s="182"/>
      <c r="AB79" s="190" t="str">
        <f t="shared" si="11"/>
        <v>;;3000;;;;;3020103:2|3040000:300|4040006:10;;</v>
      </c>
      <c r="AC79" s="182">
        <v>6000</v>
      </c>
      <c r="AD79" s="182"/>
      <c r="AE79" s="182"/>
      <c r="AF79" s="182"/>
      <c r="AG79" s="182"/>
      <c r="AH79" s="182"/>
      <c r="AI79" s="182">
        <v>6000</v>
      </c>
      <c r="AJ79" s="182"/>
      <c r="AK79" s="182"/>
      <c r="AL79" s="182"/>
      <c r="AM79" s="182"/>
      <c r="AN79" s="182"/>
      <c r="AO79" s="182"/>
      <c r="AP79" s="182"/>
      <c r="AQ79" s="182"/>
      <c r="AR79" s="182"/>
      <c r="AS79" s="182"/>
      <c r="AT79" s="182"/>
      <c r="AU79" s="182"/>
      <c r="AV79" s="182"/>
      <c r="AW79" s="256"/>
      <c r="AX79" s="256"/>
      <c r="AY79" s="256">
        <v>3000</v>
      </c>
      <c r="AZ79" s="256"/>
      <c r="BA79" s="256"/>
      <c r="BB79" s="256"/>
      <c r="BC79" s="256"/>
      <c r="BD79" s="256" t="s">
        <v>1148</v>
      </c>
      <c r="BE79" s="257"/>
      <c r="BF79" s="257"/>
      <c r="BG79" s="182" t="s">
        <v>633</v>
      </c>
      <c r="BH79" s="182">
        <v>100063</v>
      </c>
    </row>
    <row r="80" spans="1:61" s="77" customFormat="1" ht="27" customHeight="1">
      <c r="A80" s="74">
        <v>123001</v>
      </c>
      <c r="B80" s="74">
        <v>23</v>
      </c>
      <c r="C80" s="74">
        <v>0</v>
      </c>
      <c r="D80" s="74" t="s">
        <v>769</v>
      </c>
      <c r="E80" s="74" t="s">
        <v>770</v>
      </c>
      <c r="F80" s="92" t="s">
        <v>771</v>
      </c>
      <c r="G80" s="74" t="s">
        <v>159</v>
      </c>
      <c r="H80" s="93" t="s">
        <v>681</v>
      </c>
      <c r="I80" s="93" t="s">
        <v>681</v>
      </c>
      <c r="J80" s="93" t="s">
        <v>616</v>
      </c>
      <c r="K80" s="93" t="s">
        <v>616</v>
      </c>
      <c r="L80" s="93"/>
      <c r="M80" s="94" t="s">
        <v>675</v>
      </c>
      <c r="N80" s="94" t="s">
        <v>772</v>
      </c>
      <c r="O80" s="74" t="s">
        <v>63</v>
      </c>
      <c r="P80" s="74" t="s">
        <v>133</v>
      </c>
      <c r="Q80" s="94" t="s">
        <v>617</v>
      </c>
      <c r="R80" s="97"/>
      <c r="S80" s="94"/>
      <c r="T80" s="74">
        <v>1</v>
      </c>
      <c r="U80" s="74">
        <v>0</v>
      </c>
      <c r="V80" s="74">
        <v>0</v>
      </c>
      <c r="W80" s="74"/>
      <c r="X80" s="74"/>
      <c r="Y80" s="74"/>
      <c r="Z80" s="74"/>
      <c r="AA80" s="74"/>
      <c r="AB80" s="96" t="str">
        <f t="shared" si="11"/>
        <v>;;;50;;;;;;</v>
      </c>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v>50</v>
      </c>
      <c r="BA80" s="74"/>
      <c r="BB80" s="74"/>
      <c r="BC80" s="74"/>
      <c r="BD80" s="74"/>
      <c r="BE80" s="74"/>
      <c r="BF80" s="74"/>
      <c r="BG80" s="74" t="s">
        <v>619</v>
      </c>
      <c r="BH80" s="74">
        <v>3170000</v>
      </c>
    </row>
    <row r="81" spans="1:60" s="77" customFormat="1" ht="20.100000000000001" customHeight="1">
      <c r="A81" s="74">
        <v>123002</v>
      </c>
      <c r="B81" s="74">
        <v>23</v>
      </c>
      <c r="C81" s="74">
        <v>0</v>
      </c>
      <c r="D81" s="74" t="s">
        <v>769</v>
      </c>
      <c r="E81" s="74"/>
      <c r="F81" s="92"/>
      <c r="G81" s="74" t="s">
        <v>159</v>
      </c>
      <c r="H81" s="93" t="s">
        <v>681</v>
      </c>
      <c r="I81" s="93" t="s">
        <v>681</v>
      </c>
      <c r="J81" s="93" t="s">
        <v>616</v>
      </c>
      <c r="K81" s="93" t="s">
        <v>616</v>
      </c>
      <c r="L81" s="93"/>
      <c r="M81" s="94" t="s">
        <v>773</v>
      </c>
      <c r="N81" s="94" t="s">
        <v>774</v>
      </c>
      <c r="O81" s="74" t="s">
        <v>63</v>
      </c>
      <c r="P81" s="74" t="s">
        <v>775</v>
      </c>
      <c r="Q81" s="94" t="s">
        <v>617</v>
      </c>
      <c r="R81" s="97"/>
      <c r="S81" s="94"/>
      <c r="T81" s="74">
        <v>1</v>
      </c>
      <c r="U81" s="74">
        <v>0</v>
      </c>
      <c r="V81" s="74">
        <v>0</v>
      </c>
      <c r="W81" s="74"/>
      <c r="X81" s="74"/>
      <c r="Y81" s="74"/>
      <c r="Z81" s="74"/>
      <c r="AA81" s="74"/>
      <c r="AB81" s="96" t="str">
        <f t="shared" si="11"/>
        <v>;;;50;;;;;;</v>
      </c>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v>50</v>
      </c>
      <c r="BA81" s="74"/>
      <c r="BB81" s="74"/>
      <c r="BC81" s="74"/>
      <c r="BD81" s="74"/>
      <c r="BE81" s="74"/>
      <c r="BF81" s="74"/>
      <c r="BG81" s="74" t="s">
        <v>619</v>
      </c>
      <c r="BH81" s="74">
        <v>3170000</v>
      </c>
    </row>
    <row r="82" spans="1:60" s="77" customFormat="1" ht="20.100000000000001" customHeight="1">
      <c r="A82" s="74">
        <v>123003</v>
      </c>
      <c r="B82" s="74">
        <v>23</v>
      </c>
      <c r="C82" s="74">
        <v>0</v>
      </c>
      <c r="D82" s="74" t="s">
        <v>769</v>
      </c>
      <c r="E82" s="74"/>
      <c r="F82" s="92"/>
      <c r="G82" s="74" t="s">
        <v>159</v>
      </c>
      <c r="H82" s="93" t="s">
        <v>681</v>
      </c>
      <c r="I82" s="93" t="s">
        <v>681</v>
      </c>
      <c r="J82" s="93" t="s">
        <v>616</v>
      </c>
      <c r="K82" s="93" t="s">
        <v>616</v>
      </c>
      <c r="L82" s="93"/>
      <c r="M82" s="94" t="s">
        <v>776</v>
      </c>
      <c r="N82" s="94" t="s">
        <v>777</v>
      </c>
      <c r="O82" s="74" t="s">
        <v>63</v>
      </c>
      <c r="P82" s="74" t="s">
        <v>778</v>
      </c>
      <c r="Q82" s="94" t="s">
        <v>617</v>
      </c>
      <c r="R82" s="97"/>
      <c r="S82" s="94" t="s">
        <v>779</v>
      </c>
      <c r="T82" s="74">
        <v>1</v>
      </c>
      <c r="U82" s="74">
        <v>0</v>
      </c>
      <c r="V82" s="74">
        <v>0</v>
      </c>
      <c r="W82" s="74"/>
      <c r="X82" s="74"/>
      <c r="Y82" s="74"/>
      <c r="Z82" s="74"/>
      <c r="AA82" s="74"/>
      <c r="AB82" s="96" t="str">
        <f t="shared" si="11"/>
        <v>;;;50;;;;;;</v>
      </c>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v>50</v>
      </c>
      <c r="BA82" s="74"/>
      <c r="BB82" s="74"/>
      <c r="BC82" s="74"/>
      <c r="BD82" s="74"/>
      <c r="BE82" s="74"/>
      <c r="BF82" s="74"/>
      <c r="BG82" s="74" t="s">
        <v>619</v>
      </c>
      <c r="BH82" s="74">
        <v>3170000</v>
      </c>
    </row>
    <row r="83" spans="1:60" s="80" customFormat="1" ht="20.100000000000001" customHeight="1">
      <c r="A83" s="101" t="s">
        <v>1175</v>
      </c>
      <c r="B83" s="78">
        <v>24</v>
      </c>
      <c r="C83" s="78">
        <v>1</v>
      </c>
      <c r="D83" s="101" t="s">
        <v>360</v>
      </c>
      <c r="E83" s="78" t="s">
        <v>780</v>
      </c>
      <c r="F83" s="161"/>
      <c r="G83" s="78" t="s">
        <v>781</v>
      </c>
      <c r="H83" s="101" t="s">
        <v>1176</v>
      </c>
      <c r="I83" s="101" t="s">
        <v>1176</v>
      </c>
      <c r="J83" s="101" t="s">
        <v>284</v>
      </c>
      <c r="K83" s="101" t="s">
        <v>284</v>
      </c>
      <c r="L83" s="101"/>
      <c r="M83" s="101" t="s">
        <v>61</v>
      </c>
      <c r="N83" s="101" t="s">
        <v>62</v>
      </c>
      <c r="O83" s="78" t="s">
        <v>63</v>
      </c>
      <c r="P83" s="78" t="s">
        <v>64</v>
      </c>
      <c r="Q83" s="101" t="s">
        <v>273</v>
      </c>
      <c r="R83" s="122"/>
      <c r="S83" s="101"/>
      <c r="T83" s="78"/>
      <c r="U83" s="78">
        <v>1</v>
      </c>
      <c r="V83" s="78">
        <v>0</v>
      </c>
      <c r="W83" s="78"/>
      <c r="X83" s="78" t="s">
        <v>65</v>
      </c>
      <c r="Y83" s="78"/>
      <c r="Z83" s="78"/>
      <c r="AA83" s="78"/>
      <c r="AB83" s="102" t="str">
        <f t="shared" si="11"/>
        <v>;6480;;;;;;;;</v>
      </c>
      <c r="AC83" s="78">
        <v>2</v>
      </c>
      <c r="AD83" s="78"/>
      <c r="AE83" s="78"/>
      <c r="AF83" s="78"/>
      <c r="AG83" s="78"/>
      <c r="AH83" s="78"/>
      <c r="AI83" s="78"/>
      <c r="AJ83" s="78"/>
      <c r="AK83" s="78"/>
      <c r="AL83" s="78">
        <v>2</v>
      </c>
      <c r="AM83" s="78"/>
      <c r="AN83" s="78"/>
      <c r="AO83" s="78"/>
      <c r="AP83" s="78"/>
      <c r="AQ83" s="78"/>
      <c r="AR83" s="78"/>
      <c r="AS83" s="78"/>
      <c r="AT83" s="78"/>
      <c r="AU83" s="78"/>
      <c r="AV83" s="78"/>
      <c r="AW83" s="78"/>
      <c r="AX83" s="271">
        <v>6480</v>
      </c>
      <c r="AY83" s="78"/>
      <c r="AZ83" s="78"/>
      <c r="BA83" s="78"/>
      <c r="BB83" s="78"/>
      <c r="BC83" s="78"/>
      <c r="BD83" s="78"/>
      <c r="BE83" s="78"/>
      <c r="BF83" s="78"/>
      <c r="BG83" s="78" t="s">
        <v>619</v>
      </c>
      <c r="BH83" s="78">
        <v>206480</v>
      </c>
    </row>
    <row r="84" spans="1:60" s="80" customFormat="1" ht="20.100000000000001" customHeight="1">
      <c r="A84" s="101" t="s">
        <v>782</v>
      </c>
      <c r="B84" s="78">
        <v>24</v>
      </c>
      <c r="C84" s="78">
        <v>1</v>
      </c>
      <c r="D84" s="101" t="s">
        <v>360</v>
      </c>
      <c r="E84" s="78" t="s">
        <v>783</v>
      </c>
      <c r="F84" s="161"/>
      <c r="G84" s="78" t="s">
        <v>781</v>
      </c>
      <c r="H84" s="101" t="s">
        <v>1176</v>
      </c>
      <c r="I84" s="101" t="s">
        <v>1176</v>
      </c>
      <c r="J84" s="101" t="s">
        <v>284</v>
      </c>
      <c r="K84" s="101" t="s">
        <v>284</v>
      </c>
      <c r="L84" s="101"/>
      <c r="M84" s="101" t="s">
        <v>61</v>
      </c>
      <c r="N84" s="101" t="s">
        <v>62</v>
      </c>
      <c r="O84" s="78" t="s">
        <v>63</v>
      </c>
      <c r="P84" s="78" t="s">
        <v>64</v>
      </c>
      <c r="Q84" s="101" t="s">
        <v>273</v>
      </c>
      <c r="R84" s="122"/>
      <c r="S84" s="101"/>
      <c r="T84" s="78"/>
      <c r="U84" s="78">
        <v>1</v>
      </c>
      <c r="V84" s="78">
        <v>0</v>
      </c>
      <c r="W84" s="78"/>
      <c r="X84" s="78" t="s">
        <v>65</v>
      </c>
      <c r="Y84" s="78"/>
      <c r="Z84" s="78"/>
      <c r="AA84" s="78"/>
      <c r="AB84" s="102" t="str">
        <f t="shared" si="11"/>
        <v>;1980;;;;;;;;</v>
      </c>
      <c r="AC84" s="78">
        <v>4</v>
      </c>
      <c r="AD84" s="78"/>
      <c r="AE84" s="78"/>
      <c r="AF84" s="78"/>
      <c r="AG84" s="78"/>
      <c r="AH84" s="78"/>
      <c r="AI84" s="78"/>
      <c r="AJ84" s="78"/>
      <c r="AK84" s="78"/>
      <c r="AL84" s="78">
        <v>4</v>
      </c>
      <c r="AM84" s="78"/>
      <c r="AN84" s="78"/>
      <c r="AO84" s="78"/>
      <c r="AP84" s="78"/>
      <c r="AQ84" s="78"/>
      <c r="AR84" s="78"/>
      <c r="AS84" s="78"/>
      <c r="AT84" s="78"/>
      <c r="AU84" s="78"/>
      <c r="AV84" s="78"/>
      <c r="AW84" s="78"/>
      <c r="AX84" s="271">
        <v>1980</v>
      </c>
      <c r="AY84" s="78"/>
      <c r="AZ84" s="78"/>
      <c r="BA84" s="78"/>
      <c r="BB84" s="78"/>
      <c r="BC84" s="78"/>
      <c r="BD84" s="78"/>
      <c r="BE84" s="78"/>
      <c r="BF84" s="78"/>
      <c r="BG84" s="78" t="s">
        <v>619</v>
      </c>
      <c r="BH84" s="78">
        <v>201980</v>
      </c>
    </row>
    <row r="85" spans="1:60" s="80" customFormat="1" ht="20.100000000000001" customHeight="1">
      <c r="A85" s="101" t="s">
        <v>784</v>
      </c>
      <c r="B85" s="78">
        <v>24</v>
      </c>
      <c r="C85" s="78">
        <v>1</v>
      </c>
      <c r="D85" s="101" t="s">
        <v>360</v>
      </c>
      <c r="E85" s="78" t="s">
        <v>1177</v>
      </c>
      <c r="F85" s="161"/>
      <c r="G85" s="78" t="s">
        <v>781</v>
      </c>
      <c r="H85" s="101" t="s">
        <v>1176</v>
      </c>
      <c r="I85" s="101" t="s">
        <v>1176</v>
      </c>
      <c r="J85" s="101" t="s">
        <v>284</v>
      </c>
      <c r="K85" s="101" t="s">
        <v>284</v>
      </c>
      <c r="L85" s="101"/>
      <c r="M85" s="101" t="s">
        <v>61</v>
      </c>
      <c r="N85" s="101" t="s">
        <v>62</v>
      </c>
      <c r="O85" s="78" t="s">
        <v>63</v>
      </c>
      <c r="P85" s="78" t="s">
        <v>64</v>
      </c>
      <c r="Q85" s="101" t="s">
        <v>273</v>
      </c>
      <c r="R85" s="122"/>
      <c r="S85" s="101"/>
      <c r="T85" s="78"/>
      <c r="U85" s="78">
        <v>1</v>
      </c>
      <c r="V85" s="78">
        <v>0</v>
      </c>
      <c r="W85" s="78"/>
      <c r="X85" s="78" t="s">
        <v>65</v>
      </c>
      <c r="Y85" s="78"/>
      <c r="Z85" s="78"/>
      <c r="AA85" s="78"/>
      <c r="AB85" s="102" t="str">
        <f t="shared" si="11"/>
        <v>;300;;;;;;;;</v>
      </c>
      <c r="AC85" s="78">
        <v>6</v>
      </c>
      <c r="AD85" s="78"/>
      <c r="AE85" s="78"/>
      <c r="AF85" s="78"/>
      <c r="AG85" s="78"/>
      <c r="AH85" s="78"/>
      <c r="AI85" s="78"/>
      <c r="AJ85" s="78"/>
      <c r="AK85" s="78"/>
      <c r="AL85" s="78">
        <v>6</v>
      </c>
      <c r="AM85" s="78"/>
      <c r="AN85" s="78"/>
      <c r="AO85" s="78"/>
      <c r="AP85" s="78"/>
      <c r="AQ85" s="78"/>
      <c r="AR85" s="78"/>
      <c r="AS85" s="78"/>
      <c r="AT85" s="78"/>
      <c r="AU85" s="78"/>
      <c r="AV85" s="78"/>
      <c r="AW85" s="78"/>
      <c r="AX85" s="271">
        <v>300</v>
      </c>
      <c r="AY85" s="78"/>
      <c r="AZ85" s="78"/>
      <c r="BA85" s="78"/>
      <c r="BB85" s="78"/>
      <c r="BC85" s="78"/>
      <c r="BD85" s="78"/>
      <c r="BE85" s="78"/>
      <c r="BF85" s="78"/>
      <c r="BG85" s="78" t="s">
        <v>619</v>
      </c>
      <c r="BH85" s="78">
        <v>200300</v>
      </c>
    </row>
    <row r="86" spans="1:60" s="80" customFormat="1" ht="20.100000000000001" customHeight="1">
      <c r="A86" s="101" t="s">
        <v>785</v>
      </c>
      <c r="B86" s="78">
        <v>24</v>
      </c>
      <c r="C86" s="78">
        <v>1</v>
      </c>
      <c r="D86" s="101" t="s">
        <v>360</v>
      </c>
      <c r="E86" s="101" t="s">
        <v>786</v>
      </c>
      <c r="F86" s="161"/>
      <c r="G86" s="78" t="s">
        <v>781</v>
      </c>
      <c r="H86" s="101" t="s">
        <v>1176</v>
      </c>
      <c r="I86" s="101" t="s">
        <v>1176</v>
      </c>
      <c r="J86" s="101" t="s">
        <v>284</v>
      </c>
      <c r="K86" s="101" t="s">
        <v>284</v>
      </c>
      <c r="L86" s="101"/>
      <c r="M86" s="101" t="s">
        <v>61</v>
      </c>
      <c r="N86" s="101" t="s">
        <v>62</v>
      </c>
      <c r="O86" s="78" t="s">
        <v>63</v>
      </c>
      <c r="P86" s="78" t="s">
        <v>64</v>
      </c>
      <c r="Q86" s="101" t="s">
        <v>273</v>
      </c>
      <c r="R86" s="122"/>
      <c r="S86" s="101"/>
      <c r="T86" s="78"/>
      <c r="U86" s="78">
        <v>1</v>
      </c>
      <c r="V86" s="78">
        <v>0</v>
      </c>
      <c r="W86" s="78"/>
      <c r="X86" s="78" t="s">
        <v>65</v>
      </c>
      <c r="Y86" s="78"/>
      <c r="Z86" s="78"/>
      <c r="AA86" s="78"/>
      <c r="AB86" s="102" t="str">
        <f t="shared" si="11"/>
        <v>;3280;;;;;;;;</v>
      </c>
      <c r="AC86" s="78">
        <v>3</v>
      </c>
      <c r="AD86" s="78"/>
      <c r="AE86" s="78"/>
      <c r="AF86" s="78"/>
      <c r="AG86" s="78"/>
      <c r="AH86" s="78"/>
      <c r="AI86" s="78"/>
      <c r="AJ86" s="78"/>
      <c r="AK86" s="78"/>
      <c r="AL86" s="78">
        <v>3</v>
      </c>
      <c r="AM86" s="78"/>
      <c r="AN86" s="78"/>
      <c r="AO86" s="78"/>
      <c r="AP86" s="78"/>
      <c r="AQ86" s="78"/>
      <c r="AR86" s="78"/>
      <c r="AS86" s="78"/>
      <c r="AT86" s="78"/>
      <c r="AU86" s="78"/>
      <c r="AV86" s="78"/>
      <c r="AW86" s="78"/>
      <c r="AX86" s="271">
        <v>3280</v>
      </c>
      <c r="AY86" s="78"/>
      <c r="AZ86" s="78"/>
      <c r="BA86" s="78"/>
      <c r="BB86" s="78"/>
      <c r="BC86" s="78"/>
      <c r="BD86" s="78"/>
      <c r="BE86" s="78"/>
      <c r="BF86" s="78"/>
      <c r="BG86" s="78" t="s">
        <v>619</v>
      </c>
      <c r="BH86" s="78">
        <v>203280</v>
      </c>
    </row>
    <row r="87" spans="1:60" s="80" customFormat="1" ht="20.100000000000001" customHeight="1">
      <c r="A87" s="101" t="s">
        <v>787</v>
      </c>
      <c r="B87" s="78">
        <v>24</v>
      </c>
      <c r="C87" s="78">
        <v>1</v>
      </c>
      <c r="D87" s="101" t="s">
        <v>360</v>
      </c>
      <c r="E87" s="101" t="s">
        <v>788</v>
      </c>
      <c r="F87" s="161"/>
      <c r="G87" s="78" t="s">
        <v>781</v>
      </c>
      <c r="H87" s="101" t="s">
        <v>1176</v>
      </c>
      <c r="I87" s="101" t="s">
        <v>1176</v>
      </c>
      <c r="J87" s="101" t="s">
        <v>284</v>
      </c>
      <c r="K87" s="101" t="s">
        <v>284</v>
      </c>
      <c r="L87" s="101"/>
      <c r="M87" s="101" t="s">
        <v>61</v>
      </c>
      <c r="N87" s="101" t="s">
        <v>62</v>
      </c>
      <c r="O87" s="78" t="s">
        <v>63</v>
      </c>
      <c r="P87" s="78" t="s">
        <v>64</v>
      </c>
      <c r="Q87" s="101" t="s">
        <v>273</v>
      </c>
      <c r="R87" s="122"/>
      <c r="S87" s="101"/>
      <c r="T87" s="78"/>
      <c r="U87" s="78">
        <v>1</v>
      </c>
      <c r="V87" s="78">
        <v>0</v>
      </c>
      <c r="W87" s="78"/>
      <c r="X87" s="78" t="s">
        <v>65</v>
      </c>
      <c r="Y87" s="78"/>
      <c r="Z87" s="78"/>
      <c r="AA87" s="78"/>
      <c r="AB87" s="102" t="str">
        <f t="shared" si="11"/>
        <v>;980;;;;;;;;</v>
      </c>
      <c r="AC87" s="78">
        <v>5</v>
      </c>
      <c r="AD87" s="78"/>
      <c r="AE87" s="78"/>
      <c r="AF87" s="78"/>
      <c r="AG87" s="78"/>
      <c r="AH87" s="78"/>
      <c r="AI87" s="78"/>
      <c r="AJ87" s="78"/>
      <c r="AK87" s="78"/>
      <c r="AL87" s="78">
        <v>5</v>
      </c>
      <c r="AM87" s="78"/>
      <c r="AN87" s="78"/>
      <c r="AO87" s="78"/>
      <c r="AP87" s="78"/>
      <c r="AQ87" s="78"/>
      <c r="AR87" s="78"/>
      <c r="AS87" s="78"/>
      <c r="AT87" s="78"/>
      <c r="AU87" s="78"/>
      <c r="AV87" s="78"/>
      <c r="AW87" s="78"/>
      <c r="AX87" s="271">
        <v>980</v>
      </c>
      <c r="AY87" s="78"/>
      <c r="AZ87" s="78"/>
      <c r="BA87" s="78"/>
      <c r="BB87" s="78"/>
      <c r="BC87" s="78"/>
      <c r="BD87" s="78"/>
      <c r="BE87" s="78"/>
      <c r="BF87" s="78"/>
      <c r="BG87" s="78" t="s">
        <v>619</v>
      </c>
      <c r="BH87" s="78">
        <v>200980</v>
      </c>
    </row>
    <row r="88" spans="1:60" s="80" customFormat="1" ht="20.100000000000001" customHeight="1">
      <c r="A88" s="101" t="s">
        <v>1178</v>
      </c>
      <c r="B88" s="78">
        <v>24</v>
      </c>
      <c r="C88" s="78">
        <v>1</v>
      </c>
      <c r="D88" s="101" t="s">
        <v>360</v>
      </c>
      <c r="E88" s="101" t="s">
        <v>1179</v>
      </c>
      <c r="F88" s="161"/>
      <c r="G88" s="78" t="s">
        <v>781</v>
      </c>
      <c r="H88" s="101" t="s">
        <v>1176</v>
      </c>
      <c r="I88" s="101" t="s">
        <v>1176</v>
      </c>
      <c r="J88" s="101" t="s">
        <v>284</v>
      </c>
      <c r="K88" s="101" t="s">
        <v>284</v>
      </c>
      <c r="L88" s="101"/>
      <c r="M88" s="101" t="s">
        <v>61</v>
      </c>
      <c r="N88" s="101" t="s">
        <v>62</v>
      </c>
      <c r="O88" s="78" t="s">
        <v>63</v>
      </c>
      <c r="P88" s="78" t="s">
        <v>64</v>
      </c>
      <c r="Q88" s="101" t="s">
        <v>273</v>
      </c>
      <c r="R88" s="122"/>
      <c r="S88" s="101"/>
      <c r="T88" s="78"/>
      <c r="U88" s="78">
        <v>1</v>
      </c>
      <c r="V88" s="78">
        <v>0</v>
      </c>
      <c r="W88" s="78"/>
      <c r="X88" s="78" t="s">
        <v>65</v>
      </c>
      <c r="Y88" s="78"/>
      <c r="Z88" s="78"/>
      <c r="AA88" s="78"/>
      <c r="AB88" s="102" t="str">
        <f t="shared" si="11"/>
        <v>;60;;;;;;;;</v>
      </c>
      <c r="AC88" s="78" t="s">
        <v>789</v>
      </c>
      <c r="AD88" s="78"/>
      <c r="AE88" s="78"/>
      <c r="AF88" s="78"/>
      <c r="AG88" s="78"/>
      <c r="AH88" s="78"/>
      <c r="AI88" s="78"/>
      <c r="AJ88" s="78"/>
      <c r="AK88" s="78"/>
      <c r="AL88" s="78" t="s">
        <v>789</v>
      </c>
      <c r="AM88" s="78"/>
      <c r="AN88" s="78"/>
      <c r="AO88" s="78"/>
      <c r="AP88" s="78"/>
      <c r="AQ88" s="78"/>
      <c r="AR88" s="78"/>
      <c r="AS88" s="78"/>
      <c r="AT88" s="78"/>
      <c r="AU88" s="78"/>
      <c r="AV88" s="78"/>
      <c r="AX88" s="272" t="s">
        <v>1180</v>
      </c>
      <c r="AY88" s="273"/>
      <c r="AZ88" s="272"/>
      <c r="BA88" s="272"/>
      <c r="BB88" s="272"/>
      <c r="BC88" s="272"/>
      <c r="BD88" s="272"/>
      <c r="BE88" s="272"/>
      <c r="BF88" s="272"/>
      <c r="BG88" s="78" t="s">
        <v>619</v>
      </c>
      <c r="BH88" s="272">
        <v>200980</v>
      </c>
    </row>
    <row r="89" spans="1:60" s="198" customFormat="1" ht="20.100000000000001" customHeight="1">
      <c r="A89" s="172" t="s">
        <v>1155</v>
      </c>
      <c r="B89" s="182">
        <v>24</v>
      </c>
      <c r="C89" s="182">
        <v>2</v>
      </c>
      <c r="D89" s="172" t="s">
        <v>1111</v>
      </c>
      <c r="E89" s="172" t="s">
        <v>790</v>
      </c>
      <c r="F89" s="187" t="s">
        <v>791</v>
      </c>
      <c r="G89" s="182" t="s">
        <v>1156</v>
      </c>
      <c r="H89" s="172" t="s">
        <v>1213</v>
      </c>
      <c r="I89" s="172" t="s">
        <v>1213</v>
      </c>
      <c r="J89" s="172" t="s">
        <v>1211</v>
      </c>
      <c r="K89" s="172" t="s">
        <v>1211</v>
      </c>
      <c r="L89" s="172"/>
      <c r="M89" s="172" t="s">
        <v>61</v>
      </c>
      <c r="N89" s="172" t="s">
        <v>62</v>
      </c>
      <c r="O89" s="182" t="s">
        <v>63</v>
      </c>
      <c r="P89" s="182" t="s">
        <v>64</v>
      </c>
      <c r="Q89" s="172" t="s">
        <v>273</v>
      </c>
      <c r="R89" s="188"/>
      <c r="S89" s="172"/>
      <c r="T89" s="182">
        <v>1</v>
      </c>
      <c r="U89" s="182">
        <v>0</v>
      </c>
      <c r="V89" s="182">
        <v>0</v>
      </c>
      <c r="W89" s="182"/>
      <c r="X89" s="182"/>
      <c r="Y89" s="182"/>
      <c r="Z89" s="182"/>
      <c r="AA89" s="182"/>
      <c r="AB89" s="190" t="str">
        <f t="shared" si="11"/>
        <v>;;;;;;;4010000:10|4080004:5|3020206:1;;</v>
      </c>
      <c r="AC89" s="182">
        <v>2</v>
      </c>
      <c r="AD89" s="258"/>
      <c r="AE89" s="182"/>
      <c r="AF89" s="182"/>
      <c r="AG89" s="182"/>
      <c r="AH89" s="182"/>
      <c r="AI89" s="183"/>
      <c r="AJ89" s="182"/>
      <c r="AK89" s="182"/>
      <c r="AL89" s="182">
        <v>2</v>
      </c>
      <c r="AM89" s="182"/>
      <c r="AN89" s="182"/>
      <c r="AO89" s="182"/>
      <c r="AP89" s="182"/>
      <c r="AQ89" s="182"/>
      <c r="AR89" s="182"/>
      <c r="AS89" s="182"/>
      <c r="AT89" s="182"/>
      <c r="AU89" s="182"/>
      <c r="AV89" s="182"/>
      <c r="AW89" s="259"/>
      <c r="AX89" s="259"/>
      <c r="AY89" s="259"/>
      <c r="AZ89" s="259"/>
      <c r="BA89" s="259"/>
      <c r="BB89" s="259"/>
      <c r="BC89" s="259"/>
      <c r="BD89" s="260" t="s">
        <v>1116</v>
      </c>
      <c r="BE89" s="260"/>
      <c r="BF89" s="260"/>
      <c r="BG89" s="182" t="s">
        <v>619</v>
      </c>
      <c r="BH89" s="182">
        <v>3020117</v>
      </c>
    </row>
    <row r="90" spans="1:60" s="198" customFormat="1" ht="20.100000000000001" customHeight="1">
      <c r="A90" s="172" t="s">
        <v>792</v>
      </c>
      <c r="B90" s="182">
        <v>24</v>
      </c>
      <c r="C90" s="182">
        <v>2</v>
      </c>
      <c r="D90" s="172" t="s">
        <v>1111</v>
      </c>
      <c r="E90" s="172" t="s">
        <v>793</v>
      </c>
      <c r="F90" s="187"/>
      <c r="G90" s="182" t="s">
        <v>1156</v>
      </c>
      <c r="H90" s="172" t="s">
        <v>1213</v>
      </c>
      <c r="I90" s="172" t="s">
        <v>1213</v>
      </c>
      <c r="J90" s="172" t="s">
        <v>1211</v>
      </c>
      <c r="K90" s="172" t="s">
        <v>1211</v>
      </c>
      <c r="L90" s="172"/>
      <c r="M90" s="172" t="s">
        <v>61</v>
      </c>
      <c r="N90" s="172" t="s">
        <v>62</v>
      </c>
      <c r="O90" s="182" t="s">
        <v>63</v>
      </c>
      <c r="P90" s="182" t="s">
        <v>64</v>
      </c>
      <c r="Q90" s="172" t="s">
        <v>273</v>
      </c>
      <c r="R90" s="188"/>
      <c r="S90" s="172"/>
      <c r="T90" s="182">
        <v>1</v>
      </c>
      <c r="U90" s="182">
        <v>0</v>
      </c>
      <c r="V90" s="182">
        <v>0</v>
      </c>
      <c r="W90" s="182"/>
      <c r="X90" s="182"/>
      <c r="Y90" s="182"/>
      <c r="Z90" s="182"/>
      <c r="AA90" s="182"/>
      <c r="AB90" s="190" t="str">
        <f t="shared" si="11"/>
        <v>;;;;;;;4010000:5|4080003:5|3160100:400;;</v>
      </c>
      <c r="AC90" s="182">
        <v>3</v>
      </c>
      <c r="AD90" s="258"/>
      <c r="AE90" s="182"/>
      <c r="AF90" s="182"/>
      <c r="AG90" s="182"/>
      <c r="AH90" s="182"/>
      <c r="AI90" s="183"/>
      <c r="AJ90" s="182"/>
      <c r="AK90" s="182"/>
      <c r="AL90" s="182">
        <v>3</v>
      </c>
      <c r="AM90" s="182"/>
      <c r="AN90" s="182"/>
      <c r="AO90" s="182"/>
      <c r="AP90" s="182"/>
      <c r="AQ90" s="182"/>
      <c r="AR90" s="182"/>
      <c r="AS90" s="182"/>
      <c r="AT90" s="182"/>
      <c r="AU90" s="182"/>
      <c r="AV90" s="182"/>
      <c r="AW90" s="259"/>
      <c r="AX90" s="259"/>
      <c r="AY90" s="259"/>
      <c r="AZ90" s="259"/>
      <c r="BA90" s="259"/>
      <c r="BB90" s="259"/>
      <c r="BC90" s="259"/>
      <c r="BD90" s="260" t="s">
        <v>1120</v>
      </c>
      <c r="BE90" s="260"/>
      <c r="BF90" s="260"/>
      <c r="BG90" s="182" t="s">
        <v>619</v>
      </c>
      <c r="BH90" s="182">
        <v>3020118</v>
      </c>
    </row>
    <row r="91" spans="1:60" s="198" customFormat="1" ht="20.100000000000001" customHeight="1">
      <c r="A91" s="172" t="s">
        <v>794</v>
      </c>
      <c r="B91" s="182">
        <v>24</v>
      </c>
      <c r="C91" s="182">
        <v>2</v>
      </c>
      <c r="D91" s="172" t="s">
        <v>1111</v>
      </c>
      <c r="E91" s="172" t="s">
        <v>795</v>
      </c>
      <c r="G91" s="182" t="s">
        <v>1156</v>
      </c>
      <c r="H91" s="172" t="s">
        <v>1213</v>
      </c>
      <c r="I91" s="172" t="s">
        <v>1213</v>
      </c>
      <c r="J91" s="172" t="s">
        <v>1211</v>
      </c>
      <c r="K91" s="172" t="s">
        <v>1211</v>
      </c>
      <c r="L91" s="172"/>
      <c r="M91" s="172" t="s">
        <v>61</v>
      </c>
      <c r="N91" s="172" t="s">
        <v>62</v>
      </c>
      <c r="O91" s="182" t="s">
        <v>63</v>
      </c>
      <c r="P91" s="182" t="s">
        <v>64</v>
      </c>
      <c r="Q91" s="172" t="s">
        <v>273</v>
      </c>
      <c r="R91" s="188"/>
      <c r="S91" s="172"/>
      <c r="T91" s="182">
        <v>1</v>
      </c>
      <c r="U91" s="182">
        <v>0</v>
      </c>
      <c r="V91" s="182">
        <v>0</v>
      </c>
      <c r="W91" s="182"/>
      <c r="X91" s="182"/>
      <c r="Y91" s="182"/>
      <c r="Z91" s="182"/>
      <c r="AA91" s="182"/>
      <c r="AB91" s="190" t="str">
        <f t="shared" si="11"/>
        <v>;;;;;;;4010000:3|4080002:5;;</v>
      </c>
      <c r="AC91" s="182">
        <v>4</v>
      </c>
      <c r="AD91" s="258"/>
      <c r="AE91" s="182"/>
      <c r="AF91" s="182"/>
      <c r="AG91" s="182"/>
      <c r="AH91" s="182"/>
      <c r="AI91" s="183"/>
      <c r="AJ91" s="182"/>
      <c r="AK91" s="182"/>
      <c r="AL91" s="182">
        <v>4</v>
      </c>
      <c r="AM91" s="182"/>
      <c r="AN91" s="182"/>
      <c r="AO91" s="182"/>
      <c r="AP91" s="182"/>
      <c r="AQ91" s="182"/>
      <c r="AR91" s="182"/>
      <c r="AS91" s="182"/>
      <c r="AT91" s="182"/>
      <c r="AU91" s="182"/>
      <c r="AV91" s="182"/>
      <c r="AW91" s="259"/>
      <c r="AX91" s="259"/>
      <c r="AY91" s="259"/>
      <c r="AZ91" s="259"/>
      <c r="BA91" s="259"/>
      <c r="BB91" s="259"/>
      <c r="BC91" s="259"/>
      <c r="BD91" s="260" t="s">
        <v>1123</v>
      </c>
      <c r="BE91" s="260"/>
      <c r="BF91" s="260"/>
      <c r="BG91" s="182" t="s">
        <v>619</v>
      </c>
      <c r="BH91" s="182">
        <v>3020119</v>
      </c>
    </row>
    <row r="92" spans="1:60" s="124" customFormat="1" ht="20.100000000000001" customHeight="1">
      <c r="A92" s="238" t="s">
        <v>1110</v>
      </c>
      <c r="B92" s="239">
        <v>24</v>
      </c>
      <c r="C92" s="239">
        <v>2</v>
      </c>
      <c r="D92" s="238" t="s">
        <v>1111</v>
      </c>
      <c r="E92" s="238" t="s">
        <v>1112</v>
      </c>
      <c r="F92" s="240" t="s">
        <v>1113</v>
      </c>
      <c r="G92" s="239" t="s">
        <v>1114</v>
      </c>
      <c r="H92" s="207" t="s">
        <v>1214</v>
      </c>
      <c r="I92" s="207" t="s">
        <v>1214</v>
      </c>
      <c r="J92" s="207" t="s">
        <v>1215</v>
      </c>
      <c r="K92" s="207" t="s">
        <v>1215</v>
      </c>
      <c r="L92" s="238"/>
      <c r="M92" s="238" t="s">
        <v>61</v>
      </c>
      <c r="N92" s="238" t="s">
        <v>62</v>
      </c>
      <c r="O92" s="239" t="s">
        <v>63</v>
      </c>
      <c r="P92" s="239" t="s">
        <v>64</v>
      </c>
      <c r="Q92" s="238" t="s">
        <v>1115</v>
      </c>
      <c r="R92" s="241"/>
      <c r="S92" s="238"/>
      <c r="T92" s="239">
        <v>1</v>
      </c>
      <c r="U92" s="239">
        <v>0</v>
      </c>
      <c r="V92" s="239">
        <v>0</v>
      </c>
      <c r="W92" s="239"/>
      <c r="X92" s="239"/>
      <c r="Y92" s="239"/>
      <c r="Z92" s="239"/>
      <c r="AA92" s="239"/>
      <c r="AB92" s="242" t="str">
        <f t="shared" ref="AB92:AB94" si="12">CONCATENATE(AW92,BG92,AX92,BG92,AY92,BG92,AZ92,BG92,BA92,BG92,BB92,BG92,BC92,BG92,BD92,BG92,BE92,BG92,BF92)</f>
        <v>;;;;;;;4010000:10|4080004:5|3020206:1;;</v>
      </c>
      <c r="AC92" s="239">
        <v>2</v>
      </c>
      <c r="AD92" s="243"/>
      <c r="AE92" s="239"/>
      <c r="AF92" s="239"/>
      <c r="AG92" s="239"/>
      <c r="AH92" s="239"/>
      <c r="AI92" s="244"/>
      <c r="AJ92" s="239"/>
      <c r="AK92" s="239"/>
      <c r="AL92" s="239">
        <v>2</v>
      </c>
      <c r="AM92" s="239"/>
      <c r="AN92" s="239"/>
      <c r="AO92" s="239"/>
      <c r="AP92" s="239"/>
      <c r="AQ92" s="239"/>
      <c r="AR92" s="239"/>
      <c r="AS92" s="239"/>
      <c r="AT92" s="239"/>
      <c r="AU92" s="239"/>
      <c r="AV92" s="239"/>
      <c r="AW92" s="245"/>
      <c r="AX92" s="245"/>
      <c r="AY92" s="245"/>
      <c r="AZ92" s="245"/>
      <c r="BA92" s="245"/>
      <c r="BB92" s="245"/>
      <c r="BC92" s="245"/>
      <c r="BD92" s="246" t="s">
        <v>1116</v>
      </c>
      <c r="BE92" s="246"/>
      <c r="BF92" s="246"/>
      <c r="BG92" s="239" t="s">
        <v>1117</v>
      </c>
      <c r="BH92" s="239">
        <v>3020117</v>
      </c>
    </row>
    <row r="93" spans="1:60" s="124" customFormat="1" ht="20.100000000000001" customHeight="1">
      <c r="A93" s="238" t="s">
        <v>1118</v>
      </c>
      <c r="B93" s="239">
        <v>24</v>
      </c>
      <c r="C93" s="239">
        <v>2</v>
      </c>
      <c r="D93" s="238" t="s">
        <v>1111</v>
      </c>
      <c r="E93" s="238" t="s">
        <v>1119</v>
      </c>
      <c r="F93" s="240"/>
      <c r="G93" s="239" t="s">
        <v>1114</v>
      </c>
      <c r="H93" s="207" t="s">
        <v>1214</v>
      </c>
      <c r="I93" s="207" t="s">
        <v>1214</v>
      </c>
      <c r="J93" s="207" t="s">
        <v>1215</v>
      </c>
      <c r="K93" s="207" t="s">
        <v>1215</v>
      </c>
      <c r="L93" s="238"/>
      <c r="M93" s="238" t="s">
        <v>61</v>
      </c>
      <c r="N93" s="238" t="s">
        <v>62</v>
      </c>
      <c r="O93" s="239" t="s">
        <v>63</v>
      </c>
      <c r="P93" s="239" t="s">
        <v>64</v>
      </c>
      <c r="Q93" s="238" t="s">
        <v>1115</v>
      </c>
      <c r="R93" s="241"/>
      <c r="S93" s="238"/>
      <c r="T93" s="239">
        <v>1</v>
      </c>
      <c r="U93" s="239">
        <v>0</v>
      </c>
      <c r="V93" s="239">
        <v>0</v>
      </c>
      <c r="W93" s="239"/>
      <c r="X93" s="239"/>
      <c r="Y93" s="239"/>
      <c r="Z93" s="239"/>
      <c r="AA93" s="239"/>
      <c r="AB93" s="242" t="str">
        <f t="shared" si="12"/>
        <v>;;;;;;;4010000:5|4080003:5|3160100:400;;</v>
      </c>
      <c r="AC93" s="239">
        <v>3</v>
      </c>
      <c r="AD93" s="243"/>
      <c r="AE93" s="239"/>
      <c r="AF93" s="239"/>
      <c r="AG93" s="239"/>
      <c r="AH93" s="239"/>
      <c r="AI93" s="244"/>
      <c r="AJ93" s="239"/>
      <c r="AK93" s="239"/>
      <c r="AL93" s="239">
        <v>3</v>
      </c>
      <c r="AM93" s="239"/>
      <c r="AN93" s="239"/>
      <c r="AO93" s="239"/>
      <c r="AP93" s="239"/>
      <c r="AQ93" s="239"/>
      <c r="AR93" s="239"/>
      <c r="AS93" s="239"/>
      <c r="AT93" s="239"/>
      <c r="AU93" s="239"/>
      <c r="AV93" s="239"/>
      <c r="AW93" s="245"/>
      <c r="AX93" s="245"/>
      <c r="AY93" s="245"/>
      <c r="AZ93" s="245"/>
      <c r="BA93" s="245"/>
      <c r="BB93" s="245"/>
      <c r="BC93" s="245"/>
      <c r="BD93" s="246" t="s">
        <v>1120</v>
      </c>
      <c r="BE93" s="246"/>
      <c r="BF93" s="246"/>
      <c r="BG93" s="239" t="s">
        <v>1117</v>
      </c>
      <c r="BH93" s="239">
        <v>3020118</v>
      </c>
    </row>
    <row r="94" spans="1:60" s="124" customFormat="1" ht="20.100000000000001" customHeight="1">
      <c r="A94" s="238" t="s">
        <v>1121</v>
      </c>
      <c r="B94" s="239">
        <v>24</v>
      </c>
      <c r="C94" s="239">
        <v>2</v>
      </c>
      <c r="D94" s="238" t="s">
        <v>1111</v>
      </c>
      <c r="E94" s="238" t="s">
        <v>1122</v>
      </c>
      <c r="G94" s="239" t="s">
        <v>1114</v>
      </c>
      <c r="H94" s="207" t="s">
        <v>1214</v>
      </c>
      <c r="I94" s="207" t="s">
        <v>1214</v>
      </c>
      <c r="J94" s="207" t="s">
        <v>1215</v>
      </c>
      <c r="K94" s="207" t="s">
        <v>1215</v>
      </c>
      <c r="L94" s="238"/>
      <c r="M94" s="238" t="s">
        <v>61</v>
      </c>
      <c r="N94" s="238" t="s">
        <v>62</v>
      </c>
      <c r="O94" s="239" t="s">
        <v>63</v>
      </c>
      <c r="P94" s="239" t="s">
        <v>64</v>
      </c>
      <c r="Q94" s="238" t="s">
        <v>1115</v>
      </c>
      <c r="R94" s="241"/>
      <c r="S94" s="238"/>
      <c r="T94" s="239">
        <v>1</v>
      </c>
      <c r="U94" s="239">
        <v>0</v>
      </c>
      <c r="V94" s="239">
        <v>0</v>
      </c>
      <c r="W94" s="239"/>
      <c r="X94" s="239"/>
      <c r="Y94" s="239"/>
      <c r="Z94" s="239"/>
      <c r="AA94" s="239"/>
      <c r="AB94" s="242" t="str">
        <f t="shared" si="12"/>
        <v>;;;;;;;4010000:3|4080002:5;;</v>
      </c>
      <c r="AC94" s="239">
        <v>4</v>
      </c>
      <c r="AD94" s="243"/>
      <c r="AE94" s="239"/>
      <c r="AF94" s="239"/>
      <c r="AG94" s="239"/>
      <c r="AH94" s="239"/>
      <c r="AI94" s="244"/>
      <c r="AJ94" s="239"/>
      <c r="AK94" s="239"/>
      <c r="AL94" s="239">
        <v>4</v>
      </c>
      <c r="AM94" s="239"/>
      <c r="AN94" s="239"/>
      <c r="AO94" s="239"/>
      <c r="AP94" s="239"/>
      <c r="AQ94" s="239"/>
      <c r="AR94" s="239"/>
      <c r="AS94" s="239"/>
      <c r="AT94" s="239"/>
      <c r="AU94" s="239"/>
      <c r="AV94" s="239"/>
      <c r="AW94" s="245"/>
      <c r="AX94" s="245"/>
      <c r="AY94" s="245"/>
      <c r="AZ94" s="245"/>
      <c r="BA94" s="245"/>
      <c r="BB94" s="245"/>
      <c r="BC94" s="245"/>
      <c r="BD94" s="246" t="s">
        <v>1123</v>
      </c>
      <c r="BE94" s="246"/>
      <c r="BF94" s="246"/>
      <c r="BG94" s="239" t="s">
        <v>1117</v>
      </c>
      <c r="BH94" s="239">
        <v>3020119</v>
      </c>
    </row>
    <row r="95" spans="1:60" s="216" customFormat="1" ht="20.100000000000001" customHeight="1">
      <c r="A95" s="147" t="s">
        <v>990</v>
      </c>
      <c r="B95" s="148">
        <v>24</v>
      </c>
      <c r="C95" s="148">
        <v>3</v>
      </c>
      <c r="D95" s="147" t="s">
        <v>796</v>
      </c>
      <c r="E95" s="149" t="s">
        <v>797</v>
      </c>
      <c r="F95" s="150" t="s">
        <v>1085</v>
      </c>
      <c r="G95" s="149" t="s">
        <v>797</v>
      </c>
      <c r="H95" s="215" t="s">
        <v>1213</v>
      </c>
      <c r="I95" s="215" t="s">
        <v>1213</v>
      </c>
      <c r="J95" s="215" t="s">
        <v>1211</v>
      </c>
      <c r="K95" s="215" t="s">
        <v>1211</v>
      </c>
      <c r="L95" s="151"/>
      <c r="M95" s="152" t="s">
        <v>61</v>
      </c>
      <c r="N95" s="152" t="s">
        <v>62</v>
      </c>
      <c r="O95" s="148" t="s">
        <v>63</v>
      </c>
      <c r="P95" s="148" t="s">
        <v>64</v>
      </c>
      <c r="Q95" s="147" t="s">
        <v>210</v>
      </c>
      <c r="R95" s="153"/>
      <c r="S95" s="152"/>
      <c r="T95" s="148"/>
      <c r="U95" s="148">
        <v>3</v>
      </c>
      <c r="V95" s="148"/>
      <c r="W95" s="148"/>
      <c r="X95" s="148"/>
      <c r="Y95" s="148"/>
      <c r="Z95" s="154"/>
      <c r="AA95" s="154"/>
      <c r="AB95" s="155" t="str">
        <f t="shared" si="11"/>
        <v>;;;;;;;1081001:1|1083001:1|1085001:1|1086001:1|3020202:3;;</v>
      </c>
      <c r="AC95" s="148">
        <v>6</v>
      </c>
      <c r="AD95" s="156"/>
      <c r="AE95" s="148"/>
      <c r="AF95" s="148"/>
      <c r="AG95" s="148"/>
      <c r="AH95" s="148"/>
      <c r="AI95" s="157"/>
      <c r="AJ95" s="148"/>
      <c r="AK95" s="148"/>
      <c r="AL95" s="148">
        <v>6</v>
      </c>
      <c r="AM95" s="154"/>
      <c r="AN95" s="154"/>
      <c r="AO95" s="154"/>
      <c r="AP95" s="154"/>
      <c r="AQ95" s="154"/>
      <c r="AR95" s="154"/>
      <c r="AS95" s="154"/>
      <c r="AT95" s="154"/>
      <c r="AU95" s="154"/>
      <c r="AV95" s="154"/>
      <c r="AW95" s="158"/>
      <c r="AX95" s="164"/>
      <c r="AY95" s="164"/>
      <c r="AZ95" s="165"/>
      <c r="BA95" s="165"/>
      <c r="BB95" s="164"/>
      <c r="BC95" s="165"/>
      <c r="BD95" s="166" t="s">
        <v>1088</v>
      </c>
      <c r="BE95" s="159"/>
      <c r="BF95" s="159"/>
      <c r="BG95" s="160" t="s">
        <v>633</v>
      </c>
      <c r="BH95" s="160"/>
    </row>
    <row r="96" spans="1:60" s="216" customFormat="1" ht="20.100000000000001" customHeight="1">
      <c r="A96" s="147" t="s">
        <v>991</v>
      </c>
      <c r="B96" s="148">
        <v>24</v>
      </c>
      <c r="C96" s="148">
        <v>3</v>
      </c>
      <c r="D96" s="147" t="s">
        <v>796</v>
      </c>
      <c r="E96" s="149" t="s">
        <v>799</v>
      </c>
      <c r="F96" s="150" t="s">
        <v>1086</v>
      </c>
      <c r="G96" s="149" t="s">
        <v>797</v>
      </c>
      <c r="H96" s="215" t="s">
        <v>1213</v>
      </c>
      <c r="I96" s="215" t="s">
        <v>1213</v>
      </c>
      <c r="J96" s="215" t="s">
        <v>1211</v>
      </c>
      <c r="K96" s="215" t="s">
        <v>1211</v>
      </c>
      <c r="L96" s="151"/>
      <c r="M96" s="152" t="s">
        <v>61</v>
      </c>
      <c r="N96" s="152" t="s">
        <v>62</v>
      </c>
      <c r="O96" s="148" t="s">
        <v>63</v>
      </c>
      <c r="P96" s="148" t="s">
        <v>64</v>
      </c>
      <c r="Q96" s="147" t="s">
        <v>210</v>
      </c>
      <c r="R96" s="153"/>
      <c r="S96" s="152"/>
      <c r="T96" s="148"/>
      <c r="U96" s="148">
        <v>2</v>
      </c>
      <c r="V96" s="148"/>
      <c r="W96" s="148"/>
      <c r="X96" s="148"/>
      <c r="Y96" s="148"/>
      <c r="Z96" s="154"/>
      <c r="AA96" s="154"/>
      <c r="AB96" s="155" t="str">
        <f>CONCATENATE(AW96,BG96,AX96,BG96,AY96,BG96,AZ96,BG96,BA96,BG96,BB96,BG96,BC96,BG96,BD96,BG96,BE96,BG96,BF96)</f>
        <v>;;;;;;;1081001:1|1083001:1|1085001:1|1086001:1|1081701:1|1083701:1|1085701:1|1086701:1|3020204:3;;</v>
      </c>
      <c r="AC96" s="148">
        <v>4</v>
      </c>
      <c r="AD96" s="156"/>
      <c r="AE96" s="148"/>
      <c r="AF96" s="148"/>
      <c r="AG96" s="148"/>
      <c r="AH96" s="148"/>
      <c r="AI96" s="157"/>
      <c r="AJ96" s="148"/>
      <c r="AK96" s="148"/>
      <c r="AL96" s="148">
        <v>4</v>
      </c>
      <c r="AM96" s="154"/>
      <c r="AN96" s="154"/>
      <c r="AO96" s="154"/>
      <c r="AP96" s="154"/>
      <c r="AQ96" s="154"/>
      <c r="AR96" s="154"/>
      <c r="AS96" s="154"/>
      <c r="AT96" s="154"/>
      <c r="AU96" s="154"/>
      <c r="AV96" s="154"/>
      <c r="AW96" s="158"/>
      <c r="AX96" s="164"/>
      <c r="AY96" s="164"/>
      <c r="AZ96" s="165"/>
      <c r="BA96" s="165"/>
      <c r="BB96" s="164"/>
      <c r="BC96" s="165"/>
      <c r="BD96" s="166" t="s">
        <v>1089</v>
      </c>
      <c r="BE96" s="159"/>
      <c r="BF96" s="159"/>
      <c r="BG96" s="160" t="s">
        <v>633</v>
      </c>
      <c r="BH96" s="160"/>
    </row>
    <row r="97" spans="1:60" s="216" customFormat="1" ht="20.100000000000001" customHeight="1">
      <c r="A97" s="147" t="s">
        <v>992</v>
      </c>
      <c r="B97" s="148">
        <v>24</v>
      </c>
      <c r="C97" s="148">
        <v>3</v>
      </c>
      <c r="D97" s="147" t="s">
        <v>796</v>
      </c>
      <c r="E97" s="149" t="s">
        <v>799</v>
      </c>
      <c r="F97" s="150" t="s">
        <v>1087</v>
      </c>
      <c r="G97" s="149" t="s">
        <v>797</v>
      </c>
      <c r="H97" s="215" t="s">
        <v>1213</v>
      </c>
      <c r="I97" s="215" t="s">
        <v>1213</v>
      </c>
      <c r="J97" s="215" t="s">
        <v>1211</v>
      </c>
      <c r="K97" s="215" t="s">
        <v>1211</v>
      </c>
      <c r="L97" s="151"/>
      <c r="M97" s="152" t="s">
        <v>61</v>
      </c>
      <c r="N97" s="152" t="s">
        <v>62</v>
      </c>
      <c r="O97" s="148" t="s">
        <v>63</v>
      </c>
      <c r="P97" s="148" t="s">
        <v>64</v>
      </c>
      <c r="Q97" s="147" t="s">
        <v>210</v>
      </c>
      <c r="R97" s="153"/>
      <c r="S97" s="152"/>
      <c r="T97" s="148"/>
      <c r="U97" s="148">
        <v>1</v>
      </c>
      <c r="V97" s="148"/>
      <c r="W97" s="148"/>
      <c r="X97" s="148"/>
      <c r="Y97" s="148"/>
      <c r="Z97" s="154"/>
      <c r="AA97" s="154"/>
      <c r="AB97" s="155" t="str">
        <f>CONCATENATE(AW97,BG97,AX97,BG97,AY97,BG97,AZ97,BG97,BA97,BG97,BB97,BG97,BC97,BG97,BD97,BG97,BE97,BG97,BF97)</f>
        <v>;;;;;;;1081001:1|1083001:1|1085001:1|1086001:1|1081701:1|1083701:1|1085701:1|1086701:1|1081801:1|1083801:1|1085801:1|1086801:1|3020205:3|4011800:20|4013800:20|4015800:20|4016800:20;;</v>
      </c>
      <c r="AC97" s="148">
        <v>2</v>
      </c>
      <c r="AD97" s="156"/>
      <c r="AE97" s="148"/>
      <c r="AF97" s="148"/>
      <c r="AG97" s="148"/>
      <c r="AH97" s="148"/>
      <c r="AI97" s="157"/>
      <c r="AJ97" s="148"/>
      <c r="AK97" s="148"/>
      <c r="AL97" s="148">
        <v>2</v>
      </c>
      <c r="AM97" s="154"/>
      <c r="AN97" s="154"/>
      <c r="AO97" s="154"/>
      <c r="AP97" s="154"/>
      <c r="AQ97" s="154"/>
      <c r="AR97" s="154"/>
      <c r="AS97" s="154"/>
      <c r="AT97" s="154"/>
      <c r="AU97" s="154"/>
      <c r="AV97" s="154"/>
      <c r="AW97" s="158"/>
      <c r="AX97" s="164"/>
      <c r="AY97" s="164"/>
      <c r="AZ97" s="165"/>
      <c r="BA97" s="165"/>
      <c r="BB97" s="164"/>
      <c r="BC97" s="165"/>
      <c r="BD97" s="166" t="s">
        <v>1090</v>
      </c>
      <c r="BE97" s="159"/>
      <c r="BF97" s="159"/>
      <c r="BG97" s="160" t="s">
        <v>633</v>
      </c>
      <c r="BH97" s="160"/>
    </row>
    <row r="98" spans="1:60" s="124" customFormat="1" ht="20.100000000000001" customHeight="1">
      <c r="A98" s="238" t="s">
        <v>1091</v>
      </c>
      <c r="B98" s="239">
        <v>24</v>
      </c>
      <c r="C98" s="239">
        <v>3</v>
      </c>
      <c r="D98" s="238" t="s">
        <v>1124</v>
      </c>
      <c r="E98" s="251" t="s">
        <v>797</v>
      </c>
      <c r="F98" s="240" t="s">
        <v>1125</v>
      </c>
      <c r="G98" s="251" t="s">
        <v>797</v>
      </c>
      <c r="H98" s="238" t="s">
        <v>1136</v>
      </c>
      <c r="I98" s="238" t="s">
        <v>1136</v>
      </c>
      <c r="J98" s="238" t="s">
        <v>1137</v>
      </c>
      <c r="K98" s="238" t="s">
        <v>1137</v>
      </c>
      <c r="L98" s="238"/>
      <c r="M98" s="238" t="s">
        <v>61</v>
      </c>
      <c r="N98" s="238" t="s">
        <v>62</v>
      </c>
      <c r="O98" s="239" t="s">
        <v>63</v>
      </c>
      <c r="P98" s="239" t="s">
        <v>64</v>
      </c>
      <c r="Q98" s="238" t="s">
        <v>210</v>
      </c>
      <c r="R98" s="241"/>
      <c r="S98" s="238"/>
      <c r="T98" s="239"/>
      <c r="U98" s="239">
        <v>3</v>
      </c>
      <c r="V98" s="239"/>
      <c r="W98" s="239"/>
      <c r="X98" s="239"/>
      <c r="Y98" s="239"/>
      <c r="Z98" s="239"/>
      <c r="AA98" s="239"/>
      <c r="AB98" s="242" t="str">
        <f t="shared" ref="AB98" si="13">CONCATENATE(AW98,BG98,AX98,BG98,AY98,BG98,AZ98,BG98,BA98,BG98,BB98,BG98,BC98,BG98,BD98,BG98,BE98,BG98,BF98)</f>
        <v>;;;;;;;1081001:1|1083001:1|1085001:1|1086001:1|3020202:3;;</v>
      </c>
      <c r="AC98" s="239">
        <v>6</v>
      </c>
      <c r="AD98" s="243"/>
      <c r="AE98" s="239"/>
      <c r="AF98" s="239"/>
      <c r="AG98" s="239"/>
      <c r="AH98" s="239"/>
      <c r="AI98" s="244"/>
      <c r="AJ98" s="239"/>
      <c r="AK98" s="239"/>
      <c r="AL98" s="239">
        <v>6</v>
      </c>
      <c r="AM98" s="239"/>
      <c r="AN98" s="239"/>
      <c r="AO98" s="239"/>
      <c r="AP98" s="239"/>
      <c r="AQ98" s="239"/>
      <c r="AR98" s="239"/>
      <c r="AS98" s="239"/>
      <c r="AT98" s="239"/>
      <c r="AU98" s="239"/>
      <c r="AV98" s="239"/>
      <c r="AW98" s="252"/>
      <c r="AX98" s="253"/>
      <c r="AY98" s="253"/>
      <c r="AZ98" s="254"/>
      <c r="BA98" s="254"/>
      <c r="BB98" s="253"/>
      <c r="BC98" s="254"/>
      <c r="BD98" s="255" t="s">
        <v>1088</v>
      </c>
      <c r="BE98" s="254"/>
      <c r="BF98" s="254"/>
      <c r="BG98" s="239" t="s">
        <v>633</v>
      </c>
      <c r="BH98" s="239"/>
    </row>
    <row r="99" spans="1:60" s="124" customFormat="1" ht="20.100000000000001" customHeight="1">
      <c r="A99" s="238" t="s">
        <v>1092</v>
      </c>
      <c r="B99" s="239">
        <v>24</v>
      </c>
      <c r="C99" s="239">
        <v>3</v>
      </c>
      <c r="D99" s="238" t="s">
        <v>1124</v>
      </c>
      <c r="E99" s="251" t="s">
        <v>1126</v>
      </c>
      <c r="F99" s="240" t="s">
        <v>1086</v>
      </c>
      <c r="G99" s="251" t="s">
        <v>797</v>
      </c>
      <c r="H99" s="238" t="s">
        <v>1136</v>
      </c>
      <c r="I99" s="238" t="s">
        <v>1136</v>
      </c>
      <c r="J99" s="238" t="s">
        <v>1137</v>
      </c>
      <c r="K99" s="238" t="s">
        <v>1137</v>
      </c>
      <c r="L99" s="238"/>
      <c r="M99" s="238" t="s">
        <v>61</v>
      </c>
      <c r="N99" s="238" t="s">
        <v>62</v>
      </c>
      <c r="O99" s="239" t="s">
        <v>63</v>
      </c>
      <c r="P99" s="239" t="s">
        <v>64</v>
      </c>
      <c r="Q99" s="238" t="s">
        <v>210</v>
      </c>
      <c r="R99" s="241"/>
      <c r="S99" s="238"/>
      <c r="T99" s="239"/>
      <c r="U99" s="239">
        <v>2</v>
      </c>
      <c r="V99" s="239"/>
      <c r="W99" s="239"/>
      <c r="X99" s="239"/>
      <c r="Y99" s="239"/>
      <c r="Z99" s="239"/>
      <c r="AA99" s="239"/>
      <c r="AB99" s="242" t="str">
        <f>CONCATENATE(AW99,BG99,AX99,BG99,AY99,BG99,AZ99,BG99,BA99,BG99,BB99,BG99,BC99,BG99,BD99,BG99,BE99,BG99,BF99)</f>
        <v>;;;;;;;1081001:1|1083001:1|1085001:1|1086001:1|1081701:1|1083701:1|1085701:1|1086701:1|3020204:3;;</v>
      </c>
      <c r="AC99" s="239">
        <v>4</v>
      </c>
      <c r="AD99" s="243"/>
      <c r="AE99" s="239"/>
      <c r="AF99" s="239"/>
      <c r="AG99" s="239"/>
      <c r="AH99" s="239"/>
      <c r="AI99" s="244"/>
      <c r="AJ99" s="239"/>
      <c r="AK99" s="239"/>
      <c r="AL99" s="239">
        <v>4</v>
      </c>
      <c r="AM99" s="239"/>
      <c r="AN99" s="239"/>
      <c r="AO99" s="239"/>
      <c r="AP99" s="239"/>
      <c r="AQ99" s="239"/>
      <c r="AR99" s="239"/>
      <c r="AS99" s="239"/>
      <c r="AT99" s="239"/>
      <c r="AU99" s="239"/>
      <c r="AV99" s="239"/>
      <c r="AW99" s="252"/>
      <c r="AX99" s="253"/>
      <c r="AY99" s="253"/>
      <c r="AZ99" s="254"/>
      <c r="BA99" s="254"/>
      <c r="BB99" s="253"/>
      <c r="BC99" s="254"/>
      <c r="BD99" s="255" t="s">
        <v>1089</v>
      </c>
      <c r="BE99" s="254"/>
      <c r="BF99" s="254"/>
      <c r="BG99" s="239" t="s">
        <v>633</v>
      </c>
      <c r="BH99" s="239"/>
    </row>
    <row r="100" spans="1:60" s="124" customFormat="1" ht="20.100000000000001" customHeight="1">
      <c r="A100" s="238" t="s">
        <v>1093</v>
      </c>
      <c r="B100" s="239">
        <v>24</v>
      </c>
      <c r="C100" s="239">
        <v>3</v>
      </c>
      <c r="D100" s="238" t="s">
        <v>1124</v>
      </c>
      <c r="E100" s="251" t="s">
        <v>1126</v>
      </c>
      <c r="F100" s="240" t="s">
        <v>1087</v>
      </c>
      <c r="G100" s="251" t="s">
        <v>797</v>
      </c>
      <c r="H100" s="238" t="s">
        <v>1136</v>
      </c>
      <c r="I100" s="238" t="s">
        <v>1136</v>
      </c>
      <c r="J100" s="238" t="s">
        <v>1137</v>
      </c>
      <c r="K100" s="238" t="s">
        <v>1137</v>
      </c>
      <c r="L100" s="238"/>
      <c r="M100" s="238" t="s">
        <v>61</v>
      </c>
      <c r="N100" s="238" t="s">
        <v>62</v>
      </c>
      <c r="O100" s="239" t="s">
        <v>63</v>
      </c>
      <c r="P100" s="239" t="s">
        <v>64</v>
      </c>
      <c r="Q100" s="238" t="s">
        <v>210</v>
      </c>
      <c r="R100" s="241"/>
      <c r="S100" s="238"/>
      <c r="T100" s="239"/>
      <c r="U100" s="239">
        <v>1</v>
      </c>
      <c r="V100" s="239"/>
      <c r="W100" s="239"/>
      <c r="X100" s="239"/>
      <c r="Y100" s="239"/>
      <c r="Z100" s="239"/>
      <c r="AA100" s="239"/>
      <c r="AB100" s="242" t="str">
        <f>CONCATENATE(AW100,BG100,AX100,BG100,AY100,BG100,AZ100,BG100,BA100,BG100,BB100,BG100,BC100,BG100,BD100,BG100,BE100,BG100,BF100)</f>
        <v>;;;;;;;1081001:1|1083001:1|1085001:1|1086001:1|1081701:1|1083701:1|1085701:1|1086701:1|1081801:1|1083801:1|1085801:1|1086801:1|3020205:3|4011800:20|4013800:20|4015800:20|4016800:20;;</v>
      </c>
      <c r="AC100" s="239">
        <v>2</v>
      </c>
      <c r="AD100" s="243"/>
      <c r="AE100" s="239"/>
      <c r="AF100" s="239"/>
      <c r="AG100" s="239"/>
      <c r="AH100" s="239"/>
      <c r="AI100" s="244"/>
      <c r="AJ100" s="239"/>
      <c r="AK100" s="239"/>
      <c r="AL100" s="239">
        <v>2</v>
      </c>
      <c r="AM100" s="239"/>
      <c r="AN100" s="239"/>
      <c r="AO100" s="239"/>
      <c r="AP100" s="239"/>
      <c r="AQ100" s="239"/>
      <c r="AR100" s="239"/>
      <c r="AS100" s="239"/>
      <c r="AT100" s="239"/>
      <c r="AU100" s="239"/>
      <c r="AV100" s="239"/>
      <c r="AW100" s="252"/>
      <c r="AX100" s="253"/>
      <c r="AY100" s="253"/>
      <c r="AZ100" s="254"/>
      <c r="BA100" s="254"/>
      <c r="BB100" s="253"/>
      <c r="BC100" s="254"/>
      <c r="BD100" s="255" t="s">
        <v>1090</v>
      </c>
      <c r="BE100" s="254"/>
      <c r="BF100" s="254"/>
      <c r="BG100" s="239" t="s">
        <v>633</v>
      </c>
      <c r="BH100" s="239"/>
    </row>
    <row r="101" spans="1:60" s="80" customFormat="1" ht="20.100000000000001" customHeight="1">
      <c r="A101" s="101" t="s">
        <v>1181</v>
      </c>
      <c r="B101" s="78">
        <v>24</v>
      </c>
      <c r="C101" s="78">
        <v>3</v>
      </c>
      <c r="D101" s="101" t="s">
        <v>551</v>
      </c>
      <c r="E101" s="274" t="s">
        <v>797</v>
      </c>
      <c r="F101" s="161"/>
      <c r="G101" s="274"/>
      <c r="H101" s="101" t="s">
        <v>798</v>
      </c>
      <c r="I101" s="101" t="s">
        <v>798</v>
      </c>
      <c r="J101" s="101" t="s">
        <v>284</v>
      </c>
      <c r="K101" s="101" t="s">
        <v>284</v>
      </c>
      <c r="L101" s="101"/>
      <c r="M101" s="101" t="s">
        <v>61</v>
      </c>
      <c r="N101" s="101" t="s">
        <v>62</v>
      </c>
      <c r="O101" s="78" t="s">
        <v>63</v>
      </c>
      <c r="P101" s="78" t="s">
        <v>64</v>
      </c>
      <c r="Q101" s="101" t="s">
        <v>210</v>
      </c>
      <c r="R101" s="122"/>
      <c r="S101" s="101"/>
      <c r="T101" s="78"/>
      <c r="U101" s="78">
        <v>5</v>
      </c>
      <c r="V101" s="101" t="s">
        <v>802</v>
      </c>
      <c r="W101" s="78"/>
      <c r="X101" s="78"/>
      <c r="Y101" s="78"/>
      <c r="Z101" s="78"/>
      <c r="AA101" s="78"/>
      <c r="AB101" s="102" t="str">
        <f t="shared" si="11"/>
        <v>;;;;;;;3170000:3|3150022:1;;</v>
      </c>
      <c r="AC101" s="78">
        <v>10</v>
      </c>
      <c r="AD101" s="275"/>
      <c r="AE101" s="78"/>
      <c r="AF101" s="78"/>
      <c r="AG101" s="78"/>
      <c r="AH101" s="78"/>
      <c r="AI101" s="79"/>
      <c r="AJ101" s="78"/>
      <c r="AK101" s="78"/>
      <c r="AL101" s="78">
        <v>7</v>
      </c>
      <c r="AM101" s="78"/>
      <c r="AN101" s="78"/>
      <c r="AO101" s="78"/>
      <c r="AP101" s="78"/>
      <c r="AQ101" s="78"/>
      <c r="AR101" s="78"/>
      <c r="AS101" s="78"/>
      <c r="AT101" s="78"/>
      <c r="AU101" s="78"/>
      <c r="AV101" s="78"/>
      <c r="AW101" s="276"/>
      <c r="AX101" s="277"/>
      <c r="AY101" s="277"/>
      <c r="AZ101" s="278"/>
      <c r="BA101" s="278"/>
      <c r="BB101" s="277"/>
      <c r="BC101" s="278"/>
      <c r="BD101" s="279" t="s">
        <v>1182</v>
      </c>
      <c r="BE101" s="278"/>
      <c r="BF101" s="278"/>
      <c r="BG101" s="78" t="s">
        <v>633</v>
      </c>
      <c r="BH101" s="78"/>
    </row>
    <row r="102" spans="1:60" s="80" customFormat="1" ht="20.100000000000001" customHeight="1">
      <c r="A102" s="101" t="s">
        <v>803</v>
      </c>
      <c r="B102" s="78">
        <v>24</v>
      </c>
      <c r="C102" s="78">
        <v>3</v>
      </c>
      <c r="D102" s="101" t="s">
        <v>552</v>
      </c>
      <c r="E102" s="274" t="s">
        <v>797</v>
      </c>
      <c r="F102" s="161"/>
      <c r="G102" s="274"/>
      <c r="H102" s="101" t="s">
        <v>798</v>
      </c>
      <c r="I102" s="101" t="s">
        <v>798</v>
      </c>
      <c r="J102" s="101" t="s">
        <v>284</v>
      </c>
      <c r="K102" s="101" t="s">
        <v>284</v>
      </c>
      <c r="L102" s="101"/>
      <c r="M102" s="101" t="s">
        <v>61</v>
      </c>
      <c r="N102" s="101" t="s">
        <v>62</v>
      </c>
      <c r="O102" s="78" t="s">
        <v>63</v>
      </c>
      <c r="P102" s="78" t="s">
        <v>64</v>
      </c>
      <c r="Q102" s="101" t="s">
        <v>210</v>
      </c>
      <c r="R102" s="122"/>
      <c r="S102" s="101"/>
      <c r="T102" s="78"/>
      <c r="U102" s="78">
        <v>3</v>
      </c>
      <c r="V102" s="101">
        <v>141201</v>
      </c>
      <c r="W102" s="78"/>
      <c r="X102" s="78"/>
      <c r="Y102" s="78"/>
      <c r="Z102" s="78"/>
      <c r="AA102" s="78"/>
      <c r="AB102" s="102" t="str">
        <f t="shared" si="11"/>
        <v>;;500;;;;;3020233:2|3020234:2|3150024:1;;</v>
      </c>
      <c r="AC102" s="78">
        <v>11</v>
      </c>
      <c r="AD102" s="275"/>
      <c r="AE102" s="78"/>
      <c r="AF102" s="78"/>
      <c r="AG102" s="78"/>
      <c r="AH102" s="78"/>
      <c r="AI102" s="79"/>
      <c r="AJ102" s="78"/>
      <c r="AK102" s="78"/>
      <c r="AL102" s="78">
        <v>5</v>
      </c>
      <c r="AM102" s="78"/>
      <c r="AN102" s="78"/>
      <c r="AO102" s="78"/>
      <c r="AP102" s="78"/>
      <c r="AQ102" s="78"/>
      <c r="AR102" s="78"/>
      <c r="AS102" s="78"/>
      <c r="AT102" s="78"/>
      <c r="AU102" s="78"/>
      <c r="AV102" s="78"/>
      <c r="AW102" s="276"/>
      <c r="AX102" s="277"/>
      <c r="AY102" s="277">
        <v>500</v>
      </c>
      <c r="AZ102" s="278"/>
      <c r="BA102" s="278"/>
      <c r="BB102" s="277"/>
      <c r="BC102" s="278"/>
      <c r="BD102" s="280" t="s">
        <v>805</v>
      </c>
      <c r="BE102" s="278"/>
      <c r="BF102" s="278"/>
      <c r="BG102" s="78" t="s">
        <v>633</v>
      </c>
      <c r="BH102" s="78"/>
    </row>
    <row r="103" spans="1:60" s="80" customFormat="1" ht="20.100000000000001" customHeight="1">
      <c r="A103" s="101" t="s">
        <v>1183</v>
      </c>
      <c r="B103" s="78">
        <v>24</v>
      </c>
      <c r="C103" s="78">
        <v>4</v>
      </c>
      <c r="D103" s="101" t="s">
        <v>806</v>
      </c>
      <c r="E103" s="281" t="str">
        <f>"[fff600]恭喜您获得[70e6ff]60[-]钻奖励，战力狂飙[70e6ff]"&amp;F103&amp;"[-][-]"</f>
        <v>[fff600]恭喜您获得[70e6ff]60[-]钻奖励，战力狂飙[70e6ff]1262[-][-]</v>
      </c>
      <c r="F103" s="78">
        <v>1262</v>
      </c>
      <c r="G103" s="274" t="s">
        <v>807</v>
      </c>
      <c r="H103" s="101" t="s">
        <v>283</v>
      </c>
      <c r="I103" s="101" t="s">
        <v>283</v>
      </c>
      <c r="J103" s="101" t="s">
        <v>284</v>
      </c>
      <c r="K103" s="101" t="s">
        <v>284</v>
      </c>
      <c r="L103" s="101"/>
      <c r="M103" s="101" t="s">
        <v>61</v>
      </c>
      <c r="N103" s="101" t="s">
        <v>62</v>
      </c>
      <c r="O103" s="78" t="s">
        <v>63</v>
      </c>
      <c r="P103" s="78" t="s">
        <v>64</v>
      </c>
      <c r="Q103" s="101" t="s">
        <v>273</v>
      </c>
      <c r="R103" s="122"/>
      <c r="S103" s="101"/>
      <c r="T103" s="78"/>
      <c r="U103" s="78">
        <v>1</v>
      </c>
      <c r="V103" s="101" t="s">
        <v>268</v>
      </c>
      <c r="W103" s="78"/>
      <c r="X103" s="78" t="s">
        <v>65</v>
      </c>
      <c r="Y103" s="78"/>
      <c r="Z103" s="78"/>
      <c r="AA103" s="78"/>
      <c r="AB103" s="102" t="str">
        <f>CONCATENATE(AW103,BG103,AX103,BG103,AY103,BG103,AZ103,BG103,BA103,BG103,BB103,BG103,BC103,BG103,BD103,BG103,BE103,BG103,BF103)</f>
        <v>;;;;;;;1081011:1|1083011:1|1085011:1|1086011:1;;</v>
      </c>
      <c r="AC103" s="78">
        <v>7</v>
      </c>
      <c r="AD103" s="275"/>
      <c r="AF103" s="78"/>
      <c r="AG103" s="78"/>
      <c r="AH103" s="78"/>
      <c r="AI103" s="79"/>
      <c r="AJ103" s="78"/>
      <c r="AK103" s="78"/>
      <c r="AL103" s="78"/>
      <c r="AM103" s="78"/>
      <c r="AN103" s="78"/>
      <c r="AO103" s="78"/>
      <c r="AP103" s="78"/>
      <c r="AQ103" s="78"/>
      <c r="AR103" s="78"/>
      <c r="AS103" s="78"/>
      <c r="AT103" s="78"/>
      <c r="AU103" s="78"/>
      <c r="AV103" s="78"/>
      <c r="AW103" s="276"/>
      <c r="AX103" s="277"/>
      <c r="AY103" s="277"/>
      <c r="AZ103" s="278"/>
      <c r="BA103" s="278"/>
      <c r="BB103" s="277"/>
      <c r="BC103" s="278"/>
      <c r="BD103" s="280" t="s">
        <v>618</v>
      </c>
      <c r="BE103" s="278"/>
      <c r="BF103" s="278"/>
      <c r="BG103" s="78" t="s">
        <v>619</v>
      </c>
      <c r="BH103" s="78"/>
    </row>
    <row r="104" spans="1:60" s="80" customFormat="1" ht="20.100000000000001" customHeight="1">
      <c r="A104" s="101" t="s">
        <v>808</v>
      </c>
      <c r="B104" s="78">
        <v>24</v>
      </c>
      <c r="C104" s="78">
        <v>4</v>
      </c>
      <c r="D104" s="101" t="s">
        <v>806</v>
      </c>
      <c r="E104" s="281" t="str">
        <f>"[fff600]恭喜您获得[70e6ff]300[-]钻奖励，战力狂飙[70e6ff]"&amp;F104&amp;"[-][-]"</f>
        <v>[fff600]恭喜您获得[70e6ff]300[-]钻奖励，战力狂飙[70e6ff]1262[-][-]</v>
      </c>
      <c r="F104" s="78">
        <v>1262</v>
      </c>
      <c r="G104" s="274" t="s">
        <v>807</v>
      </c>
      <c r="H104" s="101" t="s">
        <v>283</v>
      </c>
      <c r="I104" s="101" t="s">
        <v>283</v>
      </c>
      <c r="J104" s="101" t="s">
        <v>284</v>
      </c>
      <c r="K104" s="101" t="s">
        <v>284</v>
      </c>
      <c r="L104" s="101"/>
      <c r="M104" s="101" t="s">
        <v>61</v>
      </c>
      <c r="N104" s="101" t="s">
        <v>62</v>
      </c>
      <c r="O104" s="78" t="s">
        <v>63</v>
      </c>
      <c r="P104" s="78" t="s">
        <v>64</v>
      </c>
      <c r="Q104" s="101" t="s">
        <v>273</v>
      </c>
      <c r="R104" s="122"/>
      <c r="S104" s="101"/>
      <c r="T104" s="78"/>
      <c r="U104" s="78">
        <v>1</v>
      </c>
      <c r="V104" s="101" t="s">
        <v>268</v>
      </c>
      <c r="W104" s="78"/>
      <c r="X104" s="78" t="s">
        <v>65</v>
      </c>
      <c r="Y104" s="78"/>
      <c r="Z104" s="78"/>
      <c r="AA104" s="78"/>
      <c r="AB104" s="102" t="str">
        <f t="shared" ref="AB104" si="14">CONCATENATE(AW104,BG104,AX104,BG104,AY104,BG104,AZ104,BG104,BA104,BG104,BB104,BG104,BC104,BG104,BD104,BG104,BE104,BG104,BF104)</f>
        <v>;;;;;;;1081011:1|1083011:1|1085011:1|1086011:1;;</v>
      </c>
      <c r="AC104" s="78">
        <v>6</v>
      </c>
      <c r="AD104" s="275">
        <v>1</v>
      </c>
      <c r="AF104" s="78"/>
      <c r="AG104" s="78"/>
      <c r="AH104" s="78"/>
      <c r="AI104" s="79"/>
      <c r="AJ104" s="78"/>
      <c r="AK104" s="78"/>
      <c r="AL104" s="78"/>
      <c r="AM104" s="78"/>
      <c r="AN104" s="78"/>
      <c r="AO104" s="78"/>
      <c r="AP104" s="78"/>
      <c r="AQ104" s="78"/>
      <c r="AR104" s="78"/>
      <c r="AS104" s="78"/>
      <c r="AT104" s="78"/>
      <c r="AU104" s="78"/>
      <c r="AV104" s="78"/>
      <c r="AW104" s="276"/>
      <c r="AX104" s="277"/>
      <c r="AY104" s="277"/>
      <c r="AZ104" s="278"/>
      <c r="BA104" s="278"/>
      <c r="BB104" s="277"/>
      <c r="BC104" s="278"/>
      <c r="BD104" s="280" t="s">
        <v>618</v>
      </c>
      <c r="BE104" s="278"/>
      <c r="BF104" s="278"/>
      <c r="BG104" s="78" t="s">
        <v>619</v>
      </c>
      <c r="BH104" s="78"/>
    </row>
    <row r="105" spans="1:60" s="80" customFormat="1" ht="20.100000000000001" customHeight="1">
      <c r="A105" s="101" t="s">
        <v>1184</v>
      </c>
      <c r="B105" s="78">
        <v>24</v>
      </c>
      <c r="C105" s="78">
        <v>4</v>
      </c>
      <c r="D105" s="101" t="s">
        <v>806</v>
      </c>
      <c r="E105" s="281" t="str">
        <f>"[fff600]恭喜您获得[70e6ff]980[-]钻奖励，战力狂飙[70e6ff]"&amp;F105&amp;"[-][-]"</f>
        <v>[fff600]恭喜您获得[70e6ff]980[-]钻奖励，战力狂飙[70e6ff]1262[-][-]</v>
      </c>
      <c r="F105" s="78">
        <v>1262</v>
      </c>
      <c r="G105" s="274" t="s">
        <v>807</v>
      </c>
      <c r="H105" s="101" t="s">
        <v>283</v>
      </c>
      <c r="I105" s="101" t="s">
        <v>283</v>
      </c>
      <c r="J105" s="101" t="s">
        <v>284</v>
      </c>
      <c r="K105" s="101" t="s">
        <v>284</v>
      </c>
      <c r="L105" s="101"/>
      <c r="M105" s="101" t="s">
        <v>61</v>
      </c>
      <c r="N105" s="101" t="s">
        <v>62</v>
      </c>
      <c r="O105" s="78" t="s">
        <v>63</v>
      </c>
      <c r="P105" s="78" t="s">
        <v>64</v>
      </c>
      <c r="Q105" s="101" t="s">
        <v>273</v>
      </c>
      <c r="R105" s="122"/>
      <c r="S105" s="101"/>
      <c r="T105" s="78"/>
      <c r="U105" s="78">
        <v>1</v>
      </c>
      <c r="V105" s="101" t="s">
        <v>268</v>
      </c>
      <c r="W105" s="78"/>
      <c r="X105" s="78" t="s">
        <v>65</v>
      </c>
      <c r="Y105" s="78"/>
      <c r="Z105" s="78"/>
      <c r="AA105" s="78"/>
      <c r="AB105" s="102" t="str">
        <f>CONCATENATE(AW105,BG105,AX105,BG105,AY105,BG105,AZ105,BG105,BA105,BG105,BB105,BG105,BC105,BG105,BD105,BG105,BE105,BG105,BF105)</f>
        <v>;;;;;;;1081011:1|1083011:1|1085011:1|1086011:1;;</v>
      </c>
      <c r="AC105" s="78">
        <v>5</v>
      </c>
      <c r="AD105" s="275">
        <v>1</v>
      </c>
      <c r="AF105" s="78"/>
      <c r="AG105" s="78"/>
      <c r="AH105" s="78"/>
      <c r="AI105" s="79"/>
      <c r="AJ105" s="78"/>
      <c r="AK105" s="78"/>
      <c r="AL105" s="78"/>
      <c r="AM105" s="78"/>
      <c r="AN105" s="78"/>
      <c r="AO105" s="78"/>
      <c r="AP105" s="78"/>
      <c r="AQ105" s="78"/>
      <c r="AR105" s="78"/>
      <c r="AS105" s="78" t="s">
        <v>1185</v>
      </c>
      <c r="AT105" s="78"/>
      <c r="AU105" s="78"/>
      <c r="AV105" s="78"/>
      <c r="AW105" s="276"/>
      <c r="AX105" s="277"/>
      <c r="AY105" s="277"/>
      <c r="AZ105" s="278"/>
      <c r="BA105" s="278"/>
      <c r="BB105" s="277"/>
      <c r="BC105" s="278"/>
      <c r="BD105" s="280" t="s">
        <v>618</v>
      </c>
      <c r="BE105" s="278"/>
      <c r="BF105" s="278"/>
      <c r="BG105" s="78" t="s">
        <v>619</v>
      </c>
      <c r="BH105" s="78"/>
    </row>
    <row r="106" spans="1:60" s="80" customFormat="1" ht="20.100000000000001" customHeight="1">
      <c r="A106" s="101" t="s">
        <v>809</v>
      </c>
      <c r="B106" s="78">
        <v>24</v>
      </c>
      <c r="C106" s="78">
        <v>4</v>
      </c>
      <c r="D106" s="101" t="s">
        <v>806</v>
      </c>
      <c r="E106" s="281" t="str">
        <f>"[fff600]恭喜您获得[70e6ff]1980[-]钻奖励，战力狂飙[70e6ff]"&amp;F106&amp;"[-][-]"</f>
        <v>[fff600]恭喜您获得[70e6ff]1980[-]钻奖励，战力狂飙[70e6ff]1982[-][-]</v>
      </c>
      <c r="F106" s="78">
        <v>1982</v>
      </c>
      <c r="G106" s="274" t="s">
        <v>807</v>
      </c>
      <c r="H106" s="101" t="s">
        <v>283</v>
      </c>
      <c r="I106" s="101" t="s">
        <v>283</v>
      </c>
      <c r="J106" s="101" t="s">
        <v>284</v>
      </c>
      <c r="K106" s="101" t="s">
        <v>284</v>
      </c>
      <c r="L106" s="101"/>
      <c r="M106" s="101" t="s">
        <v>61</v>
      </c>
      <c r="N106" s="101" t="s">
        <v>62</v>
      </c>
      <c r="O106" s="78" t="s">
        <v>63</v>
      </c>
      <c r="P106" s="78" t="s">
        <v>64</v>
      </c>
      <c r="Q106" s="101" t="s">
        <v>273</v>
      </c>
      <c r="R106" s="122"/>
      <c r="S106" s="101"/>
      <c r="T106" s="78"/>
      <c r="U106" s="78">
        <v>1</v>
      </c>
      <c r="V106" s="101" t="s">
        <v>66</v>
      </c>
      <c r="W106" s="78"/>
      <c r="X106" s="78" t="s">
        <v>65</v>
      </c>
      <c r="Y106" s="78"/>
      <c r="Z106" s="78"/>
      <c r="AA106" s="78"/>
      <c r="AB106" s="102" t="str">
        <f t="shared" ref="AB106:AB120" si="15">CONCATENATE(AW106,BG106,AX106,BG106,AY106,BG106,AZ106,BG106,BA106,BG106,BB106,BG106,BC106,BG106,BD106,BG106,BE106,BG106,BF106)</f>
        <v>;;;;;;;1131500:1|1081011:1|1083011:1|1085011:1|1086011:1;;</v>
      </c>
      <c r="AC106" s="78">
        <v>4</v>
      </c>
      <c r="AD106" s="275"/>
      <c r="AF106" s="78"/>
      <c r="AG106" s="78"/>
      <c r="AH106" s="78"/>
      <c r="AI106" s="79"/>
      <c r="AJ106" s="78"/>
      <c r="AK106" s="78"/>
      <c r="AL106" s="78"/>
      <c r="AM106" s="78"/>
      <c r="AN106" s="78"/>
      <c r="AO106" s="78"/>
      <c r="AP106" s="78"/>
      <c r="AQ106" s="78"/>
      <c r="AR106" s="78"/>
      <c r="AS106" s="78" t="s">
        <v>810</v>
      </c>
      <c r="AT106" s="78"/>
      <c r="AU106" s="78"/>
      <c r="AV106" s="78"/>
      <c r="AW106" s="276"/>
      <c r="AX106" s="277"/>
      <c r="AY106" s="277"/>
      <c r="AZ106" s="278"/>
      <c r="BA106" s="278"/>
      <c r="BB106" s="277"/>
      <c r="BC106" s="278"/>
      <c r="BD106" s="280" t="s">
        <v>811</v>
      </c>
      <c r="BE106" s="278"/>
      <c r="BF106" s="278"/>
      <c r="BG106" s="78" t="s">
        <v>619</v>
      </c>
      <c r="BH106" s="78"/>
    </row>
    <row r="107" spans="1:60" s="80" customFormat="1" ht="20.100000000000001" customHeight="1">
      <c r="A107" s="101" t="s">
        <v>1186</v>
      </c>
      <c r="B107" s="78">
        <v>24</v>
      </c>
      <c r="C107" s="78">
        <v>4</v>
      </c>
      <c r="D107" s="101" t="s">
        <v>806</v>
      </c>
      <c r="E107" s="281" t="str">
        <f>"[fff600]恭喜您获得[70e6ff]3280[-]钻奖励，战力狂飙[70e6ff]"&amp;F107&amp;"[-][-]"</f>
        <v>[fff600]恭喜您获得[70e6ff]3280[-]钻奖励，战力狂飙[70e6ff]2407[-][-]</v>
      </c>
      <c r="F107" s="78">
        <v>2407</v>
      </c>
      <c r="G107" s="274" t="s">
        <v>807</v>
      </c>
      <c r="H107" s="101" t="s">
        <v>283</v>
      </c>
      <c r="I107" s="101" t="s">
        <v>283</v>
      </c>
      <c r="J107" s="101" t="s">
        <v>284</v>
      </c>
      <c r="K107" s="101" t="s">
        <v>284</v>
      </c>
      <c r="L107" s="101"/>
      <c r="M107" s="101" t="s">
        <v>61</v>
      </c>
      <c r="N107" s="101" t="s">
        <v>62</v>
      </c>
      <c r="O107" s="78" t="s">
        <v>63</v>
      </c>
      <c r="P107" s="78" t="s">
        <v>64</v>
      </c>
      <c r="Q107" s="101" t="s">
        <v>273</v>
      </c>
      <c r="R107" s="122"/>
      <c r="S107" s="101"/>
      <c r="T107" s="78"/>
      <c r="U107" s="78">
        <v>1</v>
      </c>
      <c r="V107" s="101" t="s">
        <v>67</v>
      </c>
      <c r="W107" s="78"/>
      <c r="X107" s="78" t="s">
        <v>65</v>
      </c>
      <c r="Y107" s="78"/>
      <c r="Z107" s="78"/>
      <c r="AA107" s="78"/>
      <c r="AB107" s="102" t="str">
        <f t="shared" si="15"/>
        <v>;;;;;;;1091402:1|1092402:1|1093402:1|1094402:1|1095402:1|1096402:1|1131500:1|1081011:1|1083011:1|1085011:1|1086011:1;;</v>
      </c>
      <c r="AC107" s="78">
        <v>3</v>
      </c>
      <c r="AD107" s="275"/>
      <c r="AF107" s="78"/>
      <c r="AG107" s="78"/>
      <c r="AH107" s="78"/>
      <c r="AI107" s="79"/>
      <c r="AJ107" s="78"/>
      <c r="AK107" s="78"/>
      <c r="AL107" s="78"/>
      <c r="AM107" s="78"/>
      <c r="AN107" s="78"/>
      <c r="AO107" s="78"/>
      <c r="AP107" s="78"/>
      <c r="AQ107" s="78"/>
      <c r="AR107" s="78"/>
      <c r="AS107" s="78"/>
      <c r="AT107" s="78"/>
      <c r="AU107" s="78"/>
      <c r="AV107" s="78"/>
      <c r="AW107" s="276"/>
      <c r="AX107" s="277"/>
      <c r="AY107" s="277"/>
      <c r="AZ107" s="278"/>
      <c r="BA107" s="278"/>
      <c r="BB107" s="277"/>
      <c r="BC107" s="278"/>
      <c r="BD107" s="280" t="s">
        <v>812</v>
      </c>
      <c r="BE107" s="278"/>
      <c r="BF107" s="278"/>
      <c r="BG107" s="78" t="s">
        <v>619</v>
      </c>
      <c r="BH107" s="78"/>
    </row>
    <row r="108" spans="1:60" s="80" customFormat="1" ht="20.100000000000001" customHeight="1">
      <c r="A108" s="101" t="s">
        <v>813</v>
      </c>
      <c r="B108" s="78">
        <v>24</v>
      </c>
      <c r="C108" s="78">
        <v>4</v>
      </c>
      <c r="D108" s="101" t="s">
        <v>806</v>
      </c>
      <c r="E108" s="281" t="str">
        <f>"[fff600]首次充值[70e6ff]6480[-]钻可获得神圣之翼、稀有时装、珍奇守护、强力武器，战力狂飙[70e6ff]"&amp;F108&amp;"[-][-]"</f>
        <v>[fff600]首次充值[70e6ff]6480[-]钻可获得神圣之翼、稀有时装、珍奇守护、强力武器，战力狂飙[70e6ff]4087[-][-]</v>
      </c>
      <c r="F108" s="78">
        <v>4087</v>
      </c>
      <c r="G108" s="274" t="s">
        <v>807</v>
      </c>
      <c r="H108" s="101" t="s">
        <v>283</v>
      </c>
      <c r="I108" s="101" t="s">
        <v>283</v>
      </c>
      <c r="J108" s="101" t="s">
        <v>284</v>
      </c>
      <c r="K108" s="101" t="s">
        <v>284</v>
      </c>
      <c r="L108" s="101"/>
      <c r="M108" s="101" t="s">
        <v>61</v>
      </c>
      <c r="N108" s="101" t="s">
        <v>62</v>
      </c>
      <c r="O108" s="78" t="s">
        <v>63</v>
      </c>
      <c r="P108" s="78" t="s">
        <v>64</v>
      </c>
      <c r="Q108" s="101" t="s">
        <v>273</v>
      </c>
      <c r="R108" s="122"/>
      <c r="S108" s="101"/>
      <c r="T108" s="78"/>
      <c r="U108" s="78">
        <v>1</v>
      </c>
      <c r="V108" s="101" t="s">
        <v>68</v>
      </c>
      <c r="W108" s="78"/>
      <c r="X108" s="78" t="s">
        <v>65</v>
      </c>
      <c r="Y108" s="78"/>
      <c r="Z108" s="78"/>
      <c r="AA108" s="78"/>
      <c r="AB108" s="102" t="str">
        <f t="shared" si="15"/>
        <v>;;;;;;;1101501:1|1102501:1|1103501:1|1104501:1|1105501:1|1106501:1|1091402:1|1092402:1|1093402:1|1094402:1|1095402:1|1096402:1|1131500:1|1081011:1|1083011:1|1085011:1|1086011:1;;</v>
      </c>
      <c r="AC108" s="78">
        <v>2</v>
      </c>
      <c r="AD108" s="275"/>
      <c r="AF108" s="78"/>
      <c r="AG108" s="78"/>
      <c r="AH108" s="78"/>
      <c r="AI108" s="79"/>
      <c r="AJ108" s="78"/>
      <c r="AK108" s="78"/>
      <c r="AL108" s="78"/>
      <c r="AM108" s="78"/>
      <c r="AN108" s="78"/>
      <c r="AO108" s="78"/>
      <c r="AP108" s="78"/>
      <c r="AQ108" s="78"/>
      <c r="AR108" s="78"/>
      <c r="AS108" s="78"/>
      <c r="AT108" s="78"/>
      <c r="AU108" s="78"/>
      <c r="AV108" s="78"/>
      <c r="AW108" s="276"/>
      <c r="AX108" s="277"/>
      <c r="AY108" s="277"/>
      <c r="AZ108" s="278"/>
      <c r="BA108" s="278"/>
      <c r="BB108" s="277"/>
      <c r="BC108" s="278"/>
      <c r="BD108" s="280" t="s">
        <v>814</v>
      </c>
      <c r="BE108" s="278"/>
      <c r="BF108" s="278"/>
      <c r="BG108" s="78" t="s">
        <v>619</v>
      </c>
      <c r="BH108" s="78"/>
    </row>
    <row r="109" spans="1:60" s="80" customFormat="1" ht="20.100000000000001" customHeight="1">
      <c r="A109" s="101" t="s">
        <v>815</v>
      </c>
      <c r="B109" s="78">
        <v>24</v>
      </c>
      <c r="C109" s="78">
        <v>5</v>
      </c>
      <c r="D109" s="101" t="s">
        <v>816</v>
      </c>
      <c r="E109" s="274" t="s">
        <v>1187</v>
      </c>
      <c r="F109" s="78"/>
      <c r="G109" s="274" t="s">
        <v>781</v>
      </c>
      <c r="H109" s="101" t="s">
        <v>1176</v>
      </c>
      <c r="I109" s="101" t="s">
        <v>1176</v>
      </c>
      <c r="J109" s="101" t="s">
        <v>284</v>
      </c>
      <c r="K109" s="101" t="s">
        <v>284</v>
      </c>
      <c r="L109" s="101"/>
      <c r="M109" s="101" t="s">
        <v>61</v>
      </c>
      <c r="N109" s="101" t="s">
        <v>62</v>
      </c>
      <c r="O109" s="78" t="s">
        <v>63</v>
      </c>
      <c r="P109" s="78" t="s">
        <v>64</v>
      </c>
      <c r="Q109" s="101" t="s">
        <v>273</v>
      </c>
      <c r="R109" s="122"/>
      <c r="S109" s="101"/>
      <c r="T109" s="78"/>
      <c r="U109" s="78">
        <v>0</v>
      </c>
      <c r="V109" s="78">
        <v>124006</v>
      </c>
      <c r="W109" s="78"/>
      <c r="X109" s="78" t="s">
        <v>65</v>
      </c>
      <c r="Y109" s="78"/>
      <c r="Z109" s="78"/>
      <c r="AA109" s="78"/>
      <c r="AB109" s="102" t="str">
        <f t="shared" si="15"/>
        <v>;880;;;;;;;;</v>
      </c>
      <c r="AC109" s="78">
        <v>2</v>
      </c>
      <c r="AD109" s="275"/>
      <c r="AE109" s="78"/>
      <c r="AF109" s="78"/>
      <c r="AG109" s="78"/>
      <c r="AH109" s="78"/>
      <c r="AI109" s="79"/>
      <c r="AJ109" s="78"/>
      <c r="AK109" s="78"/>
      <c r="AL109" s="78">
        <v>2</v>
      </c>
      <c r="AM109" s="78"/>
      <c r="AN109" s="78"/>
      <c r="AO109" s="78"/>
      <c r="AP109" s="78"/>
      <c r="AQ109" s="78"/>
      <c r="AR109" s="78"/>
      <c r="AS109" s="78"/>
      <c r="AT109" s="78"/>
      <c r="AU109" s="78"/>
      <c r="AV109" s="78"/>
      <c r="AW109" s="276"/>
      <c r="AX109" s="277">
        <v>880</v>
      </c>
      <c r="AY109" s="277"/>
      <c r="AZ109" s="278"/>
      <c r="BA109" s="278"/>
      <c r="BB109" s="277"/>
      <c r="BC109" s="278"/>
      <c r="BD109" s="280"/>
      <c r="BE109" s="278"/>
      <c r="BF109" s="278"/>
      <c r="BG109" s="78" t="s">
        <v>619</v>
      </c>
      <c r="BH109" s="78"/>
    </row>
    <row r="110" spans="1:60" s="80" customFormat="1" ht="20.100000000000001" customHeight="1">
      <c r="A110" s="101" t="s">
        <v>817</v>
      </c>
      <c r="B110" s="78">
        <v>24</v>
      </c>
      <c r="C110" s="78">
        <v>5</v>
      </c>
      <c r="D110" s="101" t="s">
        <v>816</v>
      </c>
      <c r="E110" s="274" t="s">
        <v>1188</v>
      </c>
      <c r="F110" s="78"/>
      <c r="G110" s="274" t="s">
        <v>781</v>
      </c>
      <c r="H110" s="101" t="s">
        <v>1176</v>
      </c>
      <c r="I110" s="101" t="s">
        <v>1176</v>
      </c>
      <c r="J110" s="101" t="s">
        <v>284</v>
      </c>
      <c r="K110" s="101" t="s">
        <v>284</v>
      </c>
      <c r="L110" s="101"/>
      <c r="M110" s="101" t="s">
        <v>61</v>
      </c>
      <c r="N110" s="101" t="s">
        <v>62</v>
      </c>
      <c r="O110" s="78" t="s">
        <v>63</v>
      </c>
      <c r="P110" s="78" t="s">
        <v>64</v>
      </c>
      <c r="Q110" s="101" t="s">
        <v>273</v>
      </c>
      <c r="R110" s="122"/>
      <c r="S110" s="101"/>
      <c r="T110" s="78"/>
      <c r="U110" s="78">
        <v>0</v>
      </c>
      <c r="V110" s="78" t="s">
        <v>782</v>
      </c>
      <c r="W110" s="78"/>
      <c r="X110" s="78" t="s">
        <v>65</v>
      </c>
      <c r="Y110" s="78"/>
      <c r="Z110" s="78"/>
      <c r="AA110" s="78"/>
      <c r="AB110" s="102" t="str">
        <f>CONCATENATE(AW110,BG110,AX110,BG110,AY110,BG110,AZ110,BG110,BA110,BG110,BB110,BG110,BC110,BG110,BD110,BG110,BE110,BG110,BF110)</f>
        <v>;180;;;;;;;;</v>
      </c>
      <c r="AC110" s="78">
        <v>4</v>
      </c>
      <c r="AD110" s="275"/>
      <c r="AE110" s="78"/>
      <c r="AF110" s="78"/>
      <c r="AG110" s="78"/>
      <c r="AH110" s="78"/>
      <c r="AI110" s="79"/>
      <c r="AJ110" s="78"/>
      <c r="AK110" s="78"/>
      <c r="AL110" s="78">
        <v>4</v>
      </c>
      <c r="AM110" s="78"/>
      <c r="AN110" s="78"/>
      <c r="AO110" s="78"/>
      <c r="AP110" s="78"/>
      <c r="AQ110" s="78"/>
      <c r="AR110" s="78"/>
      <c r="AS110" s="78"/>
      <c r="AT110" s="78"/>
      <c r="AU110" s="78"/>
      <c r="AV110" s="78"/>
      <c r="AW110" s="276"/>
      <c r="AX110" s="277">
        <v>180</v>
      </c>
      <c r="AY110" s="277"/>
      <c r="AZ110" s="278"/>
      <c r="BA110" s="278"/>
      <c r="BB110" s="277"/>
      <c r="BC110" s="278"/>
      <c r="BD110" s="280"/>
      <c r="BE110" s="278"/>
      <c r="BF110" s="278"/>
      <c r="BG110" s="78" t="s">
        <v>619</v>
      </c>
      <c r="BH110" s="78"/>
    </row>
    <row r="111" spans="1:60" s="80" customFormat="1" ht="20.100000000000001" customHeight="1">
      <c r="A111" s="101" t="s">
        <v>818</v>
      </c>
      <c r="B111" s="78">
        <v>24</v>
      </c>
      <c r="C111" s="78">
        <v>5</v>
      </c>
      <c r="D111" s="101" t="s">
        <v>816</v>
      </c>
      <c r="E111" s="274" t="s">
        <v>819</v>
      </c>
      <c r="F111" s="78"/>
      <c r="G111" s="274" t="s">
        <v>781</v>
      </c>
      <c r="H111" s="101" t="s">
        <v>1176</v>
      </c>
      <c r="I111" s="101" t="s">
        <v>1176</v>
      </c>
      <c r="J111" s="101" t="s">
        <v>284</v>
      </c>
      <c r="K111" s="101" t="s">
        <v>284</v>
      </c>
      <c r="L111" s="101"/>
      <c r="M111" s="101" t="s">
        <v>61</v>
      </c>
      <c r="N111" s="101" t="s">
        <v>62</v>
      </c>
      <c r="O111" s="78" t="s">
        <v>63</v>
      </c>
      <c r="P111" s="78" t="s">
        <v>64</v>
      </c>
      <c r="Q111" s="101" t="s">
        <v>273</v>
      </c>
      <c r="R111" s="122"/>
      <c r="S111" s="101"/>
      <c r="T111" s="78"/>
      <c r="U111" s="78">
        <v>0</v>
      </c>
      <c r="V111" s="78">
        <v>124010</v>
      </c>
      <c r="W111" s="78"/>
      <c r="X111" s="78" t="s">
        <v>65</v>
      </c>
      <c r="Y111" s="78"/>
      <c r="Z111" s="78"/>
      <c r="AA111" s="78"/>
      <c r="AB111" s="102" t="str">
        <f t="shared" si="15"/>
        <v>;80;;;;;;;;</v>
      </c>
      <c r="AC111" s="78">
        <v>5</v>
      </c>
      <c r="AD111" s="275"/>
      <c r="AE111" s="78"/>
      <c r="AF111" s="78"/>
      <c r="AG111" s="78"/>
      <c r="AH111" s="78"/>
      <c r="AI111" s="79"/>
      <c r="AJ111" s="78"/>
      <c r="AK111" s="78"/>
      <c r="AL111" s="78">
        <v>6</v>
      </c>
      <c r="AM111" s="78"/>
      <c r="AN111" s="78"/>
      <c r="AO111" s="78"/>
      <c r="AP111" s="78"/>
      <c r="AQ111" s="78"/>
      <c r="AR111" s="78"/>
      <c r="AS111" s="78"/>
      <c r="AT111" s="78"/>
      <c r="AU111" s="78"/>
      <c r="AV111" s="78"/>
      <c r="AW111" s="276"/>
      <c r="AX111" s="277">
        <v>80</v>
      </c>
      <c r="AY111" s="277"/>
      <c r="AZ111" s="278"/>
      <c r="BA111" s="278"/>
      <c r="BB111" s="277"/>
      <c r="BC111" s="278"/>
      <c r="BD111" s="280"/>
      <c r="BE111" s="278"/>
      <c r="BF111" s="278"/>
      <c r="BG111" s="78" t="s">
        <v>619</v>
      </c>
      <c r="BH111" s="78"/>
    </row>
    <row r="112" spans="1:60" s="80" customFormat="1" ht="20.100000000000001" customHeight="1">
      <c r="A112" s="101" t="s">
        <v>820</v>
      </c>
      <c r="B112" s="78">
        <v>24</v>
      </c>
      <c r="C112" s="78">
        <v>5</v>
      </c>
      <c r="D112" s="101" t="s">
        <v>816</v>
      </c>
      <c r="E112" s="274" t="s">
        <v>821</v>
      </c>
      <c r="F112" s="78"/>
      <c r="G112" s="274" t="s">
        <v>781</v>
      </c>
      <c r="H112" s="101" t="s">
        <v>1176</v>
      </c>
      <c r="I112" s="101" t="s">
        <v>1176</v>
      </c>
      <c r="J112" s="101" t="s">
        <v>284</v>
      </c>
      <c r="K112" s="101" t="s">
        <v>284</v>
      </c>
      <c r="L112" s="101"/>
      <c r="M112" s="101" t="s">
        <v>61</v>
      </c>
      <c r="N112" s="101" t="s">
        <v>62</v>
      </c>
      <c r="O112" s="78" t="s">
        <v>63</v>
      </c>
      <c r="P112" s="78" t="s">
        <v>64</v>
      </c>
      <c r="Q112" s="101" t="s">
        <v>273</v>
      </c>
      <c r="R112" s="122"/>
      <c r="S112" s="101"/>
      <c r="T112" s="78"/>
      <c r="U112" s="78">
        <v>0</v>
      </c>
      <c r="V112" s="78" t="s">
        <v>785</v>
      </c>
      <c r="W112" s="78"/>
      <c r="X112" s="78" t="s">
        <v>65</v>
      </c>
      <c r="Y112" s="78"/>
      <c r="Z112" s="78"/>
      <c r="AA112" s="78"/>
      <c r="AB112" s="102" t="str">
        <f t="shared" si="15"/>
        <v>;380;;;;;;;;</v>
      </c>
      <c r="AC112" s="78">
        <v>3</v>
      </c>
      <c r="AD112" s="275"/>
      <c r="AE112" s="78"/>
      <c r="AF112" s="78"/>
      <c r="AG112" s="78"/>
      <c r="AH112" s="78"/>
      <c r="AI112" s="79"/>
      <c r="AJ112" s="78"/>
      <c r="AK112" s="78"/>
      <c r="AL112" s="78">
        <v>3</v>
      </c>
      <c r="AM112" s="78"/>
      <c r="AN112" s="78"/>
      <c r="AO112" s="78"/>
      <c r="AP112" s="78"/>
      <c r="AQ112" s="78"/>
      <c r="AR112" s="78"/>
      <c r="AS112" s="78"/>
      <c r="AT112" s="78"/>
      <c r="AU112" s="78"/>
      <c r="AV112" s="78"/>
      <c r="AW112" s="276"/>
      <c r="AX112" s="277">
        <v>380</v>
      </c>
      <c r="AY112" s="277"/>
      <c r="AZ112" s="278"/>
      <c r="BA112" s="278"/>
      <c r="BB112" s="277"/>
      <c r="BC112" s="278"/>
      <c r="BD112" s="280"/>
      <c r="BE112" s="278"/>
      <c r="BF112" s="278"/>
      <c r="BG112" s="78" t="s">
        <v>619</v>
      </c>
      <c r="BH112" s="78"/>
    </row>
    <row r="113" spans="1:60" s="80" customFormat="1" ht="20.100000000000001" customHeight="1">
      <c r="A113" s="101" t="s">
        <v>822</v>
      </c>
      <c r="B113" s="78">
        <v>24</v>
      </c>
      <c r="C113" s="78">
        <v>5</v>
      </c>
      <c r="D113" s="101" t="s">
        <v>816</v>
      </c>
      <c r="E113" s="274" t="s">
        <v>823</v>
      </c>
      <c r="F113" s="78"/>
      <c r="G113" s="274" t="s">
        <v>781</v>
      </c>
      <c r="H113" s="101" t="s">
        <v>1176</v>
      </c>
      <c r="I113" s="101" t="s">
        <v>1176</v>
      </c>
      <c r="J113" s="101" t="s">
        <v>284</v>
      </c>
      <c r="K113" s="101" t="s">
        <v>284</v>
      </c>
      <c r="L113" s="101"/>
      <c r="M113" s="101" t="s">
        <v>61</v>
      </c>
      <c r="N113" s="101" t="s">
        <v>62</v>
      </c>
      <c r="O113" s="78" t="s">
        <v>63</v>
      </c>
      <c r="P113" s="78" t="s">
        <v>64</v>
      </c>
      <c r="Q113" s="101" t="s">
        <v>273</v>
      </c>
      <c r="R113" s="122"/>
      <c r="S113" s="101"/>
      <c r="T113" s="78"/>
      <c r="U113" s="78">
        <v>0</v>
      </c>
      <c r="V113" s="78">
        <v>124008</v>
      </c>
      <c r="W113" s="78"/>
      <c r="X113" s="78" t="s">
        <v>65</v>
      </c>
      <c r="Y113" s="78"/>
      <c r="Z113" s="78"/>
      <c r="AA113" s="78"/>
      <c r="AB113" s="102" t="str">
        <f t="shared" si="15"/>
        <v>;15;;;;;;;;</v>
      </c>
      <c r="AC113" s="78">
        <v>6</v>
      </c>
      <c r="AD113" s="275"/>
      <c r="AE113" s="78"/>
      <c r="AF113" s="78"/>
      <c r="AG113" s="78"/>
      <c r="AH113" s="78"/>
      <c r="AI113" s="79"/>
      <c r="AJ113" s="78"/>
      <c r="AK113" s="78"/>
      <c r="AL113" s="78">
        <v>5</v>
      </c>
      <c r="AM113" s="78"/>
      <c r="AN113" s="78"/>
      <c r="AO113" s="78"/>
      <c r="AP113" s="78"/>
      <c r="AQ113" s="78"/>
      <c r="AR113" s="78"/>
      <c r="AS113" s="78"/>
      <c r="AT113" s="78"/>
      <c r="AU113" s="78"/>
      <c r="AV113" s="78"/>
      <c r="AW113" s="276"/>
      <c r="AX113" s="277">
        <v>15</v>
      </c>
      <c r="AY113" s="277"/>
      <c r="AZ113" s="278"/>
      <c r="BA113" s="278"/>
      <c r="BB113" s="277"/>
      <c r="BC113" s="278"/>
      <c r="BD113" s="280"/>
      <c r="BE113" s="278"/>
      <c r="BF113" s="278"/>
      <c r="BG113" s="78" t="s">
        <v>619</v>
      </c>
      <c r="BH113" s="78"/>
    </row>
    <row r="114" spans="1:60" s="80" customFormat="1" ht="20.100000000000001" customHeight="1">
      <c r="A114" s="101" t="s">
        <v>824</v>
      </c>
      <c r="B114" s="78">
        <v>24</v>
      </c>
      <c r="C114" s="78">
        <v>5</v>
      </c>
      <c r="D114" s="101" t="s">
        <v>816</v>
      </c>
      <c r="E114" s="274" t="s">
        <v>1189</v>
      </c>
      <c r="F114" s="78"/>
      <c r="G114" s="274" t="s">
        <v>781</v>
      </c>
      <c r="H114" s="101" t="s">
        <v>1176</v>
      </c>
      <c r="I114" s="101" t="s">
        <v>1176</v>
      </c>
      <c r="J114" s="101" t="s">
        <v>284</v>
      </c>
      <c r="K114" s="101" t="s">
        <v>284</v>
      </c>
      <c r="L114" s="101"/>
      <c r="M114" s="101" t="s">
        <v>61</v>
      </c>
      <c r="N114" s="101" t="s">
        <v>62</v>
      </c>
      <c r="O114" s="78" t="s">
        <v>63</v>
      </c>
      <c r="P114" s="78" t="s">
        <v>64</v>
      </c>
      <c r="Q114" s="101" t="s">
        <v>273</v>
      </c>
      <c r="R114" s="122"/>
      <c r="S114" s="101"/>
      <c r="T114" s="78"/>
      <c r="U114" s="78">
        <v>0</v>
      </c>
      <c r="V114" s="78" t="s">
        <v>1190</v>
      </c>
      <c r="W114" s="78"/>
      <c r="X114" s="78" t="s">
        <v>65</v>
      </c>
      <c r="Y114" s="78"/>
      <c r="Z114" s="78"/>
      <c r="AA114" s="78"/>
      <c r="AB114" s="102" t="str">
        <f t="shared" si="15"/>
        <v>;;;;;;;;;</v>
      </c>
      <c r="AC114" s="78">
        <v>1</v>
      </c>
      <c r="AD114" s="275"/>
      <c r="AE114" s="78"/>
      <c r="AF114" s="78"/>
      <c r="AG114" s="78"/>
      <c r="AH114" s="78"/>
      <c r="AI114" s="79"/>
      <c r="AJ114" s="78"/>
      <c r="AK114" s="78"/>
      <c r="AL114" s="78">
        <v>1</v>
      </c>
      <c r="AM114" s="78"/>
      <c r="AN114" s="78"/>
      <c r="AO114" s="78"/>
      <c r="AP114" s="78"/>
      <c r="AQ114" s="78"/>
      <c r="AR114" s="78"/>
      <c r="AS114" s="78"/>
      <c r="AT114" s="78"/>
      <c r="AU114" s="78"/>
      <c r="AV114" s="78"/>
      <c r="AW114" s="276"/>
      <c r="AX114" s="277"/>
      <c r="AY114" s="277"/>
      <c r="AZ114" s="278"/>
      <c r="BA114" s="278"/>
      <c r="BB114" s="277"/>
      <c r="BC114" s="278"/>
      <c r="BD114" s="280"/>
      <c r="BE114" s="278"/>
      <c r="BF114" s="278"/>
      <c r="BG114" s="78" t="s">
        <v>619</v>
      </c>
      <c r="BH114" s="78"/>
    </row>
    <row r="115" spans="1:60" s="80" customFormat="1" ht="20.100000000000001" customHeight="1">
      <c r="A115" s="101" t="s">
        <v>826</v>
      </c>
      <c r="B115" s="78">
        <v>24</v>
      </c>
      <c r="C115" s="78">
        <v>5</v>
      </c>
      <c r="D115" s="101" t="s">
        <v>816</v>
      </c>
      <c r="E115" s="274" t="s">
        <v>827</v>
      </c>
      <c r="F115" s="161"/>
      <c r="G115" s="274" t="s">
        <v>781</v>
      </c>
      <c r="H115" s="101" t="s">
        <v>1176</v>
      </c>
      <c r="I115" s="101" t="s">
        <v>1176</v>
      </c>
      <c r="J115" s="101" t="s">
        <v>284</v>
      </c>
      <c r="K115" s="101" t="s">
        <v>284</v>
      </c>
      <c r="L115" s="101"/>
      <c r="M115" s="101" t="s">
        <v>61</v>
      </c>
      <c r="N115" s="101" t="s">
        <v>62</v>
      </c>
      <c r="O115" s="78" t="s">
        <v>63</v>
      </c>
      <c r="P115" s="78" t="s">
        <v>64</v>
      </c>
      <c r="Q115" s="101" t="s">
        <v>273</v>
      </c>
      <c r="R115" s="122"/>
      <c r="S115" s="101"/>
      <c r="T115" s="78"/>
      <c r="U115" s="78">
        <v>0</v>
      </c>
      <c r="V115" s="78" t="s">
        <v>1190</v>
      </c>
      <c r="W115" s="78"/>
      <c r="X115" s="78" t="s">
        <v>65</v>
      </c>
      <c r="Y115" s="78"/>
      <c r="Z115" s="78"/>
      <c r="AA115" s="78"/>
      <c r="AB115" s="102" t="str">
        <f t="shared" si="15"/>
        <v>;;;;;;;;;</v>
      </c>
      <c r="AC115" s="78">
        <v>9</v>
      </c>
      <c r="AD115" s="275"/>
      <c r="AE115" s="78"/>
      <c r="AF115" s="78"/>
      <c r="AG115" s="78"/>
      <c r="AH115" s="78"/>
      <c r="AI115" s="79"/>
      <c r="AJ115" s="78"/>
      <c r="AK115" s="78"/>
      <c r="AL115" s="78">
        <v>9</v>
      </c>
      <c r="AM115" s="78"/>
      <c r="AN115" s="78"/>
      <c r="AO115" s="78"/>
      <c r="AP115" s="78"/>
      <c r="AQ115" s="78"/>
      <c r="AR115" s="78"/>
      <c r="AS115" s="78"/>
      <c r="AT115" s="78"/>
      <c r="AU115" s="78"/>
      <c r="AV115" s="78"/>
      <c r="AW115" s="276"/>
      <c r="AX115" s="277"/>
      <c r="AY115" s="277"/>
      <c r="AZ115" s="278"/>
      <c r="BA115" s="278"/>
      <c r="BB115" s="277"/>
      <c r="BC115" s="278"/>
      <c r="BD115" s="280"/>
      <c r="BE115" s="278"/>
      <c r="BF115" s="278"/>
      <c r="BG115" s="78" t="s">
        <v>619</v>
      </c>
      <c r="BH115" s="78"/>
    </row>
    <row r="116" spans="1:60" s="293" customFormat="1" ht="20.100000000000001" customHeight="1" thickBot="1">
      <c r="A116" s="285" t="s">
        <v>828</v>
      </c>
      <c r="B116" s="283">
        <v>24</v>
      </c>
      <c r="C116" s="283">
        <v>6</v>
      </c>
      <c r="D116" s="294" t="s">
        <v>829</v>
      </c>
      <c r="E116" s="295" t="s">
        <v>1191</v>
      </c>
      <c r="F116" s="296">
        <v>700</v>
      </c>
      <c r="G116" s="295"/>
      <c r="H116" s="285" t="s">
        <v>758</v>
      </c>
      <c r="I116" s="285" t="s">
        <v>758</v>
      </c>
      <c r="J116" s="285" t="s">
        <v>668</v>
      </c>
      <c r="K116" s="285" t="s">
        <v>668</v>
      </c>
      <c r="L116" s="285"/>
      <c r="M116" s="285" t="s">
        <v>61</v>
      </c>
      <c r="N116" s="285" t="s">
        <v>62</v>
      </c>
      <c r="O116" s="283" t="s">
        <v>63</v>
      </c>
      <c r="P116" s="283" t="s">
        <v>64</v>
      </c>
      <c r="Q116" s="285" t="s">
        <v>273</v>
      </c>
      <c r="R116" s="287"/>
      <c r="S116" s="285"/>
      <c r="T116" s="283"/>
      <c r="U116" s="283">
        <v>10</v>
      </c>
      <c r="V116" s="283"/>
      <c r="W116" s="283"/>
      <c r="X116" s="283"/>
      <c r="Y116" s="283"/>
      <c r="Z116" s="283"/>
      <c r="AA116" s="283"/>
      <c r="AB116" s="288" t="str">
        <f t="shared" si="15"/>
        <v>;200;;;;;;4011901:25|4013901:25|4015901:25|4016901:25|3150024:1;;</v>
      </c>
      <c r="AC116" s="283">
        <v>11</v>
      </c>
      <c r="AD116" s="297"/>
      <c r="AE116" s="283"/>
      <c r="AF116" s="283"/>
      <c r="AG116" s="283"/>
      <c r="AH116" s="283"/>
      <c r="AI116" s="284"/>
      <c r="AJ116" s="283"/>
      <c r="AK116" s="283"/>
      <c r="AL116" s="283">
        <v>5</v>
      </c>
      <c r="AM116" s="283"/>
      <c r="AN116" s="283"/>
      <c r="AO116" s="283"/>
      <c r="AP116" s="283"/>
      <c r="AQ116" s="283"/>
      <c r="AR116" s="283"/>
      <c r="AS116" s="283"/>
      <c r="AT116" s="283"/>
      <c r="AU116" s="283"/>
      <c r="AV116" s="283"/>
      <c r="AW116" s="298"/>
      <c r="AX116" s="299">
        <v>200</v>
      </c>
      <c r="AY116" s="299"/>
      <c r="AZ116" s="300"/>
      <c r="BA116" s="300"/>
      <c r="BB116" s="299"/>
      <c r="BC116" s="300"/>
      <c r="BD116" s="301" t="s">
        <v>830</v>
      </c>
      <c r="BE116" s="300"/>
      <c r="BF116" s="300"/>
      <c r="BG116" s="283" t="s">
        <v>619</v>
      </c>
      <c r="BH116" s="283"/>
    </row>
    <row r="117" spans="1:60" s="293" customFormat="1" ht="20.100000000000001" customHeight="1" thickBot="1">
      <c r="A117" s="285" t="s">
        <v>831</v>
      </c>
      <c r="B117" s="283">
        <v>24</v>
      </c>
      <c r="C117" s="283">
        <v>6</v>
      </c>
      <c r="D117" s="294" t="s">
        <v>832</v>
      </c>
      <c r="E117" s="295" t="s">
        <v>1191</v>
      </c>
      <c r="F117" s="296">
        <v>3960</v>
      </c>
      <c r="G117" s="295"/>
      <c r="H117" s="285" t="s">
        <v>758</v>
      </c>
      <c r="I117" s="285" t="s">
        <v>758</v>
      </c>
      <c r="J117" s="285" t="s">
        <v>668</v>
      </c>
      <c r="K117" s="285" t="s">
        <v>668</v>
      </c>
      <c r="L117" s="285"/>
      <c r="M117" s="285" t="s">
        <v>61</v>
      </c>
      <c r="N117" s="285" t="s">
        <v>62</v>
      </c>
      <c r="O117" s="283" t="s">
        <v>63</v>
      </c>
      <c r="P117" s="283" t="s">
        <v>64</v>
      </c>
      <c r="Q117" s="285" t="s">
        <v>273</v>
      </c>
      <c r="R117" s="287"/>
      <c r="S117" s="285"/>
      <c r="T117" s="283"/>
      <c r="U117" s="283">
        <v>1</v>
      </c>
      <c r="V117" s="283"/>
      <c r="W117" s="283"/>
      <c r="X117" s="283"/>
      <c r="Y117" s="283"/>
      <c r="Z117" s="283"/>
      <c r="AA117" s="283"/>
      <c r="AB117" s="288" t="str">
        <f t="shared" si="15"/>
        <v>;;;;;;;1101507:1|1102507:1|1103507:1|1104507:1|1105507:1|1106507:1|4060043:10|4060044:10|4060045:10|4060046:10|4060047:10|4060048:10|4011901:30|4013901:30|4015901:30|4016901:30|3150027:1;;</v>
      </c>
      <c r="AC117" s="283">
        <v>13</v>
      </c>
      <c r="AD117" s="297"/>
      <c r="AE117" s="283"/>
      <c r="AF117" s="283"/>
      <c r="AG117" s="283"/>
      <c r="AH117" s="283"/>
      <c r="AI117" s="284"/>
      <c r="AJ117" s="283"/>
      <c r="AK117" s="283"/>
      <c r="AL117" s="283">
        <v>2</v>
      </c>
      <c r="AM117" s="283"/>
      <c r="AN117" s="283"/>
      <c r="AO117" s="283"/>
      <c r="AP117" s="283"/>
      <c r="AQ117" s="283"/>
      <c r="AR117" s="283"/>
      <c r="AS117" s="283"/>
      <c r="AT117" s="283"/>
      <c r="AU117" s="283"/>
      <c r="AV117" s="283"/>
      <c r="AW117" s="298"/>
      <c r="AX117" s="299"/>
      <c r="AY117" s="299"/>
      <c r="AZ117" s="300"/>
      <c r="BA117" s="300"/>
      <c r="BB117" s="299"/>
      <c r="BC117" s="300"/>
      <c r="BD117" s="302" t="s">
        <v>833</v>
      </c>
      <c r="BE117" s="300"/>
      <c r="BF117" s="300"/>
      <c r="BG117" s="283" t="s">
        <v>619</v>
      </c>
      <c r="BH117" s="283"/>
    </row>
    <row r="118" spans="1:60" s="293" customFormat="1" ht="20.100000000000001" customHeight="1" thickBot="1">
      <c r="A118" s="285" t="s">
        <v>834</v>
      </c>
      <c r="B118" s="283">
        <v>24</v>
      </c>
      <c r="C118" s="283">
        <v>6</v>
      </c>
      <c r="D118" s="294" t="s">
        <v>835</v>
      </c>
      <c r="E118" s="295" t="s">
        <v>1191</v>
      </c>
      <c r="F118" s="296">
        <v>1090</v>
      </c>
      <c r="G118" s="295"/>
      <c r="H118" s="285" t="s">
        <v>758</v>
      </c>
      <c r="I118" s="285" t="s">
        <v>758</v>
      </c>
      <c r="J118" s="285" t="s">
        <v>668</v>
      </c>
      <c r="K118" s="285" t="s">
        <v>668</v>
      </c>
      <c r="L118" s="285"/>
      <c r="M118" s="285" t="s">
        <v>61</v>
      </c>
      <c r="N118" s="285" t="s">
        <v>62</v>
      </c>
      <c r="O118" s="283" t="s">
        <v>63</v>
      </c>
      <c r="P118" s="283" t="s">
        <v>64</v>
      </c>
      <c r="Q118" s="285" t="s">
        <v>273</v>
      </c>
      <c r="R118" s="287"/>
      <c r="S118" s="285"/>
      <c r="T118" s="283"/>
      <c r="U118" s="283">
        <v>1</v>
      </c>
      <c r="V118" s="283"/>
      <c r="W118" s="283"/>
      <c r="X118" s="283"/>
      <c r="Y118" s="283"/>
      <c r="Z118" s="283"/>
      <c r="AA118" s="283"/>
      <c r="AB118" s="288" t="str">
        <f t="shared" si="15"/>
        <v>;300;;;;;;1131506:1|3150025:1;;</v>
      </c>
      <c r="AC118" s="283">
        <v>5</v>
      </c>
      <c r="AD118" s="297"/>
      <c r="AE118" s="283"/>
      <c r="AF118" s="283"/>
      <c r="AG118" s="283"/>
      <c r="AH118" s="283"/>
      <c r="AI118" s="284"/>
      <c r="AJ118" s="283"/>
      <c r="AK118" s="283"/>
      <c r="AL118" s="283">
        <v>4</v>
      </c>
      <c r="AM118" s="283"/>
      <c r="AN118" s="283"/>
      <c r="AO118" s="283"/>
      <c r="AP118" s="283"/>
      <c r="AQ118" s="283"/>
      <c r="AR118" s="283"/>
      <c r="AS118" s="283"/>
      <c r="AT118" s="283"/>
      <c r="AU118" s="283"/>
      <c r="AV118" s="283"/>
      <c r="AW118" s="298"/>
      <c r="AX118" s="299">
        <v>300</v>
      </c>
      <c r="AY118" s="299"/>
      <c r="AZ118" s="300"/>
      <c r="BA118" s="300"/>
      <c r="BB118" s="299"/>
      <c r="BC118" s="300"/>
      <c r="BD118" s="302" t="s">
        <v>836</v>
      </c>
      <c r="BE118" s="300"/>
      <c r="BF118" s="300"/>
      <c r="BG118" s="283" t="s">
        <v>619</v>
      </c>
      <c r="BH118" s="283"/>
    </row>
    <row r="119" spans="1:60" s="293" customFormat="1" ht="20.100000000000001" customHeight="1" thickBot="1">
      <c r="A119" s="285" t="s">
        <v>837</v>
      </c>
      <c r="B119" s="283">
        <v>24</v>
      </c>
      <c r="C119" s="283">
        <v>6</v>
      </c>
      <c r="D119" s="294" t="s">
        <v>1192</v>
      </c>
      <c r="E119" s="295" t="s">
        <v>1191</v>
      </c>
      <c r="F119" s="296">
        <v>2080</v>
      </c>
      <c r="G119" s="295"/>
      <c r="H119" s="285" t="s">
        <v>758</v>
      </c>
      <c r="I119" s="285" t="s">
        <v>758</v>
      </c>
      <c r="J119" s="285" t="s">
        <v>668</v>
      </c>
      <c r="K119" s="285" t="s">
        <v>668</v>
      </c>
      <c r="L119" s="285"/>
      <c r="M119" s="285" t="s">
        <v>61</v>
      </c>
      <c r="N119" s="285" t="s">
        <v>62</v>
      </c>
      <c r="O119" s="283" t="s">
        <v>63</v>
      </c>
      <c r="P119" s="283" t="s">
        <v>64</v>
      </c>
      <c r="Q119" s="285" t="s">
        <v>273</v>
      </c>
      <c r="R119" s="287"/>
      <c r="S119" s="285"/>
      <c r="T119" s="283"/>
      <c r="U119" s="283">
        <v>3</v>
      </c>
      <c r="V119" s="283"/>
      <c r="W119" s="283"/>
      <c r="X119" s="283"/>
      <c r="Y119" s="283"/>
      <c r="Z119" s="283"/>
      <c r="AA119" s="283"/>
      <c r="AB119" s="288" t="str">
        <f t="shared" si="15"/>
        <v>;;;;;;;4060043:10|4060044:10|4060045:10|4060046:10|4060047:10|4060048:10|4011901:20|4013901:20|4015901:20|4016901:20|3150026:1;;</v>
      </c>
      <c r="AC119" s="283">
        <v>12</v>
      </c>
      <c r="AD119" s="297"/>
      <c r="AE119" s="283"/>
      <c r="AF119" s="283"/>
      <c r="AG119" s="283"/>
      <c r="AH119" s="283"/>
      <c r="AI119" s="284"/>
      <c r="AJ119" s="283"/>
      <c r="AK119" s="283"/>
      <c r="AL119" s="283">
        <v>3</v>
      </c>
      <c r="AM119" s="283"/>
      <c r="AN119" s="283"/>
      <c r="AO119" s="283"/>
      <c r="AP119" s="283"/>
      <c r="AQ119" s="283"/>
      <c r="AR119" s="283"/>
      <c r="AS119" s="283"/>
      <c r="AT119" s="283"/>
      <c r="AU119" s="283"/>
      <c r="AV119" s="283"/>
      <c r="AW119" s="298"/>
      <c r="AX119" s="299"/>
      <c r="AY119" s="299"/>
      <c r="AZ119" s="300"/>
      <c r="BA119" s="300"/>
      <c r="BB119" s="299"/>
      <c r="BC119" s="300"/>
      <c r="BD119" s="303" t="s">
        <v>838</v>
      </c>
      <c r="BE119" s="300"/>
      <c r="BF119" s="300"/>
      <c r="BG119" s="283" t="s">
        <v>619</v>
      </c>
      <c r="BH119" s="283"/>
    </row>
    <row r="120" spans="1:60" s="293" customFormat="1" ht="20.100000000000001" customHeight="1" thickBot="1">
      <c r="A120" s="285" t="s">
        <v>839</v>
      </c>
      <c r="B120" s="283">
        <v>24</v>
      </c>
      <c r="C120" s="283">
        <v>6</v>
      </c>
      <c r="D120" s="294" t="s">
        <v>1193</v>
      </c>
      <c r="E120" s="295" t="s">
        <v>1191</v>
      </c>
      <c r="F120" s="296">
        <v>800</v>
      </c>
      <c r="G120" s="295"/>
      <c r="H120" s="285" t="s">
        <v>758</v>
      </c>
      <c r="I120" s="285" t="s">
        <v>758</v>
      </c>
      <c r="J120" s="285" t="s">
        <v>668</v>
      </c>
      <c r="K120" s="285" t="s">
        <v>668</v>
      </c>
      <c r="L120" s="285"/>
      <c r="M120" s="285" t="s">
        <v>61</v>
      </c>
      <c r="N120" s="285" t="s">
        <v>62</v>
      </c>
      <c r="O120" s="283" t="s">
        <v>63</v>
      </c>
      <c r="P120" s="283" t="s">
        <v>64</v>
      </c>
      <c r="Q120" s="285" t="s">
        <v>273</v>
      </c>
      <c r="R120" s="287"/>
      <c r="S120" s="285"/>
      <c r="T120" s="283"/>
      <c r="U120" s="283">
        <v>5</v>
      </c>
      <c r="V120" s="283"/>
      <c r="W120" s="283"/>
      <c r="X120" s="283"/>
      <c r="Y120" s="283"/>
      <c r="Z120" s="283"/>
      <c r="AA120" s="283"/>
      <c r="AB120" s="288" t="str">
        <f t="shared" si="15"/>
        <v>;;;;;;;4040011:20|4011901:10|4013901:10|4015901:10|4016901:10|3150024:1;;</v>
      </c>
      <c r="AC120" s="283">
        <v>11</v>
      </c>
      <c r="AD120" s="297"/>
      <c r="AE120" s="283"/>
      <c r="AF120" s="283"/>
      <c r="AG120" s="283"/>
      <c r="AH120" s="283"/>
      <c r="AI120" s="284"/>
      <c r="AJ120" s="283"/>
      <c r="AK120" s="283"/>
      <c r="AL120" s="283">
        <v>5</v>
      </c>
      <c r="AM120" s="283"/>
      <c r="AN120" s="283"/>
      <c r="AO120" s="283"/>
      <c r="AP120" s="283"/>
      <c r="AQ120" s="283"/>
      <c r="AR120" s="283"/>
      <c r="AS120" s="283"/>
      <c r="AT120" s="283"/>
      <c r="AU120" s="283"/>
      <c r="AV120" s="283"/>
      <c r="AW120" s="298"/>
      <c r="AX120" s="299"/>
      <c r="AY120" s="299"/>
      <c r="AZ120" s="300"/>
      <c r="BA120" s="300"/>
      <c r="BB120" s="299"/>
      <c r="BC120" s="300"/>
      <c r="BD120" s="304" t="s">
        <v>1194</v>
      </c>
      <c r="BE120" s="300"/>
      <c r="BF120" s="300"/>
      <c r="BG120" s="283" t="s">
        <v>619</v>
      </c>
      <c r="BH120" s="283"/>
    </row>
    <row r="121" spans="1:60" s="77" customFormat="1" ht="20.100000000000001" customHeight="1">
      <c r="A121" s="78">
        <v>125101</v>
      </c>
      <c r="B121" s="78">
        <v>25</v>
      </c>
      <c r="C121" s="78">
        <v>1</v>
      </c>
      <c r="D121" s="78" t="s">
        <v>840</v>
      </c>
      <c r="E121" s="78" t="s">
        <v>841</v>
      </c>
      <c r="F121" s="79"/>
      <c r="G121" s="78" t="s">
        <v>412</v>
      </c>
      <c r="H121" s="101" t="s">
        <v>681</v>
      </c>
      <c r="I121" s="101" t="s">
        <v>681</v>
      </c>
      <c r="J121" s="101" t="s">
        <v>616</v>
      </c>
      <c r="K121" s="101" t="s">
        <v>616</v>
      </c>
      <c r="L121" s="101"/>
      <c r="M121" s="101" t="s">
        <v>61</v>
      </c>
      <c r="N121" s="101" t="s">
        <v>62</v>
      </c>
      <c r="O121" s="78" t="s">
        <v>63</v>
      </c>
      <c r="P121" s="78" t="s">
        <v>64</v>
      </c>
      <c r="Q121" s="101" t="s">
        <v>617</v>
      </c>
      <c r="R121" s="122"/>
      <c r="S121" s="101"/>
      <c r="T121" s="78"/>
      <c r="U121" s="78">
        <v>1</v>
      </c>
      <c r="V121" s="78">
        <v>0</v>
      </c>
      <c r="W121" s="78"/>
      <c r="X121" s="78"/>
      <c r="Y121" s="78"/>
      <c r="Z121" s="78"/>
      <c r="AA121" s="78"/>
      <c r="AB121" s="102" t="str">
        <f t="shared" si="11"/>
        <v>;;;;;;;;;</v>
      </c>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78"/>
      <c r="AZ121" s="78"/>
      <c r="BA121" s="78"/>
      <c r="BB121" s="78"/>
      <c r="BC121" s="78"/>
      <c r="BD121" s="78"/>
      <c r="BE121" s="78"/>
      <c r="BF121" s="78"/>
      <c r="BG121" s="78" t="s">
        <v>619</v>
      </c>
      <c r="BH121" s="78"/>
    </row>
    <row r="122" spans="1:60" s="77" customFormat="1" ht="20.100000000000001" customHeight="1">
      <c r="A122" s="78">
        <v>125201</v>
      </c>
      <c r="B122" s="78">
        <v>25</v>
      </c>
      <c r="C122" s="78">
        <v>2</v>
      </c>
      <c r="D122" s="78" t="s">
        <v>842</v>
      </c>
      <c r="E122" s="78" t="s">
        <v>843</v>
      </c>
      <c r="F122" s="79"/>
      <c r="G122" s="78" t="s">
        <v>412</v>
      </c>
      <c r="H122" s="101" t="s">
        <v>681</v>
      </c>
      <c r="I122" s="101" t="s">
        <v>681</v>
      </c>
      <c r="J122" s="101" t="s">
        <v>616</v>
      </c>
      <c r="K122" s="101" t="s">
        <v>616</v>
      </c>
      <c r="L122" s="101"/>
      <c r="M122" s="101" t="s">
        <v>61</v>
      </c>
      <c r="N122" s="101" t="s">
        <v>62</v>
      </c>
      <c r="O122" s="78" t="s">
        <v>63</v>
      </c>
      <c r="P122" s="78" t="s">
        <v>64</v>
      </c>
      <c r="Q122" s="101" t="s">
        <v>617</v>
      </c>
      <c r="R122" s="122"/>
      <c r="S122" s="101"/>
      <c r="T122" s="78"/>
      <c r="U122" s="78">
        <v>1</v>
      </c>
      <c r="V122" s="78">
        <v>0</v>
      </c>
      <c r="W122" s="78"/>
      <c r="X122" s="78"/>
      <c r="Y122" s="78"/>
      <c r="Z122" s="78"/>
      <c r="AA122" s="78"/>
      <c r="AB122" s="102" t="str">
        <f t="shared" si="11"/>
        <v>;;;;;;;;;</v>
      </c>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78"/>
      <c r="AZ122" s="78"/>
      <c r="BA122" s="78"/>
      <c r="BB122" s="78"/>
      <c r="BC122" s="78"/>
      <c r="BD122" s="78"/>
      <c r="BE122" s="78"/>
      <c r="BF122" s="78"/>
      <c r="BG122" s="78" t="s">
        <v>619</v>
      </c>
      <c r="BH122" s="78"/>
    </row>
    <row r="123" spans="1:60" s="77" customFormat="1" ht="20.100000000000001" customHeight="1">
      <c r="A123" s="78">
        <v>125301</v>
      </c>
      <c r="B123" s="78">
        <v>25</v>
      </c>
      <c r="C123" s="78">
        <v>3</v>
      </c>
      <c r="D123" s="78" t="s">
        <v>844</v>
      </c>
      <c r="E123" s="78" t="s">
        <v>845</v>
      </c>
      <c r="F123" s="79"/>
      <c r="G123" s="78" t="s">
        <v>412</v>
      </c>
      <c r="H123" s="101" t="s">
        <v>681</v>
      </c>
      <c r="I123" s="101" t="s">
        <v>681</v>
      </c>
      <c r="J123" s="101" t="s">
        <v>616</v>
      </c>
      <c r="K123" s="101" t="s">
        <v>616</v>
      </c>
      <c r="L123" s="101"/>
      <c r="M123" s="101" t="s">
        <v>61</v>
      </c>
      <c r="N123" s="101" t="s">
        <v>62</v>
      </c>
      <c r="O123" s="78" t="s">
        <v>63</v>
      </c>
      <c r="P123" s="78" t="s">
        <v>64</v>
      </c>
      <c r="Q123" s="101" t="s">
        <v>617</v>
      </c>
      <c r="R123" s="122"/>
      <c r="S123" s="101"/>
      <c r="T123" s="78"/>
      <c r="U123" s="78">
        <v>1</v>
      </c>
      <c r="V123" s="78">
        <v>0</v>
      </c>
      <c r="W123" s="78"/>
      <c r="X123" s="78"/>
      <c r="Y123" s="78"/>
      <c r="Z123" s="78"/>
      <c r="AA123" s="78"/>
      <c r="AB123" s="102" t="str">
        <f t="shared" si="11"/>
        <v>;;;;;;;;;</v>
      </c>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78"/>
      <c r="AZ123" s="78"/>
      <c r="BA123" s="78"/>
      <c r="BB123" s="78"/>
      <c r="BC123" s="78"/>
      <c r="BD123" s="78"/>
      <c r="BE123" s="78"/>
      <c r="BF123" s="78"/>
      <c r="BG123" s="78" t="s">
        <v>619</v>
      </c>
      <c r="BH123" s="78"/>
    </row>
    <row r="124" spans="1:60" s="77" customFormat="1" ht="20.100000000000001" customHeight="1">
      <c r="A124" s="78">
        <v>125401</v>
      </c>
      <c r="B124" s="78">
        <v>25</v>
      </c>
      <c r="C124" s="78">
        <v>4</v>
      </c>
      <c r="D124" s="78" t="s">
        <v>846</v>
      </c>
      <c r="E124" s="78" t="s">
        <v>847</v>
      </c>
      <c r="F124" s="79"/>
      <c r="G124" s="78" t="s">
        <v>412</v>
      </c>
      <c r="H124" s="101" t="s">
        <v>681</v>
      </c>
      <c r="I124" s="101" t="s">
        <v>681</v>
      </c>
      <c r="J124" s="101" t="s">
        <v>616</v>
      </c>
      <c r="K124" s="101" t="s">
        <v>616</v>
      </c>
      <c r="L124" s="101"/>
      <c r="M124" s="101" t="s">
        <v>61</v>
      </c>
      <c r="N124" s="101" t="s">
        <v>62</v>
      </c>
      <c r="O124" s="78" t="s">
        <v>63</v>
      </c>
      <c r="P124" s="78" t="s">
        <v>64</v>
      </c>
      <c r="Q124" s="101" t="s">
        <v>617</v>
      </c>
      <c r="R124" s="122"/>
      <c r="S124" s="101"/>
      <c r="T124" s="78"/>
      <c r="U124" s="78">
        <v>1</v>
      </c>
      <c r="V124" s="78">
        <v>0</v>
      </c>
      <c r="W124" s="78"/>
      <c r="X124" s="78"/>
      <c r="Y124" s="78"/>
      <c r="Z124" s="78"/>
      <c r="AA124" s="78"/>
      <c r="AB124" s="102" t="str">
        <f t="shared" si="11"/>
        <v>;;;;;;;;;</v>
      </c>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78"/>
      <c r="AZ124" s="78"/>
      <c r="BA124" s="78"/>
      <c r="BB124" s="78"/>
      <c r="BC124" s="78"/>
      <c r="BD124" s="78"/>
      <c r="BE124" s="78"/>
      <c r="BF124" s="78"/>
      <c r="BG124" s="78" t="s">
        <v>619</v>
      </c>
      <c r="BH124" s="78"/>
    </row>
    <row r="125" spans="1:60" s="77" customFormat="1" ht="20.100000000000001" customHeight="1">
      <c r="A125" s="78">
        <v>125501</v>
      </c>
      <c r="B125" s="78">
        <v>25</v>
      </c>
      <c r="C125" s="78">
        <v>5</v>
      </c>
      <c r="D125" s="78" t="s">
        <v>848</v>
      </c>
      <c r="E125" s="78" t="s">
        <v>849</v>
      </c>
      <c r="F125" s="79"/>
      <c r="G125" s="78" t="s">
        <v>412</v>
      </c>
      <c r="H125" s="101" t="s">
        <v>681</v>
      </c>
      <c r="I125" s="101" t="s">
        <v>681</v>
      </c>
      <c r="J125" s="101" t="s">
        <v>616</v>
      </c>
      <c r="K125" s="101" t="s">
        <v>616</v>
      </c>
      <c r="L125" s="101"/>
      <c r="M125" s="101" t="s">
        <v>61</v>
      </c>
      <c r="N125" s="101" t="s">
        <v>62</v>
      </c>
      <c r="O125" s="78" t="s">
        <v>63</v>
      </c>
      <c r="P125" s="78" t="s">
        <v>64</v>
      </c>
      <c r="Q125" s="101" t="s">
        <v>617</v>
      </c>
      <c r="R125" s="122"/>
      <c r="S125" s="101"/>
      <c r="T125" s="78"/>
      <c r="U125" s="78">
        <v>1</v>
      </c>
      <c r="V125" s="78">
        <v>0</v>
      </c>
      <c r="W125" s="78"/>
      <c r="X125" s="78"/>
      <c r="Y125" s="78"/>
      <c r="Z125" s="78"/>
      <c r="AA125" s="78"/>
      <c r="AB125" s="102" t="str">
        <f t="shared" si="11"/>
        <v>;;;;;;;;;</v>
      </c>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78"/>
      <c r="AZ125" s="78"/>
      <c r="BA125" s="78"/>
      <c r="BB125" s="78"/>
      <c r="BC125" s="78"/>
      <c r="BD125" s="78"/>
      <c r="BE125" s="78"/>
      <c r="BF125" s="78"/>
      <c r="BG125" s="78" t="s">
        <v>619</v>
      </c>
      <c r="BH125" s="78"/>
    </row>
    <row r="126" spans="1:60" s="77" customFormat="1" ht="20.100000000000001" customHeight="1">
      <c r="A126" s="78">
        <v>125601</v>
      </c>
      <c r="B126" s="78">
        <v>25</v>
      </c>
      <c r="C126" s="78">
        <v>6</v>
      </c>
      <c r="D126" s="78" t="s">
        <v>850</v>
      </c>
      <c r="E126" s="78" t="s">
        <v>851</v>
      </c>
      <c r="F126" s="79"/>
      <c r="G126" s="78" t="s">
        <v>412</v>
      </c>
      <c r="H126" s="101" t="s">
        <v>681</v>
      </c>
      <c r="I126" s="101" t="s">
        <v>681</v>
      </c>
      <c r="J126" s="101" t="s">
        <v>616</v>
      </c>
      <c r="K126" s="101" t="s">
        <v>616</v>
      </c>
      <c r="L126" s="101"/>
      <c r="M126" s="101" t="s">
        <v>61</v>
      </c>
      <c r="N126" s="101" t="s">
        <v>62</v>
      </c>
      <c r="O126" s="78" t="s">
        <v>63</v>
      </c>
      <c r="P126" s="78" t="s">
        <v>64</v>
      </c>
      <c r="Q126" s="101" t="s">
        <v>617</v>
      </c>
      <c r="R126" s="122"/>
      <c r="S126" s="101"/>
      <c r="T126" s="78"/>
      <c r="U126" s="78">
        <v>1</v>
      </c>
      <c r="V126" s="78">
        <v>0</v>
      </c>
      <c r="W126" s="78"/>
      <c r="X126" s="78"/>
      <c r="Y126" s="78"/>
      <c r="Z126" s="78"/>
      <c r="AA126" s="78"/>
      <c r="AB126" s="102" t="str">
        <f t="shared" si="11"/>
        <v>;;;;;;;;;</v>
      </c>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78"/>
      <c r="AZ126" s="78"/>
      <c r="BA126" s="78"/>
      <c r="BB126" s="78"/>
      <c r="BC126" s="78"/>
      <c r="BD126" s="78"/>
      <c r="BE126" s="78"/>
      <c r="BF126" s="78"/>
      <c r="BG126" s="78" t="s">
        <v>619</v>
      </c>
      <c r="BH126" s="78"/>
    </row>
    <row r="127" spans="1:60" s="77" customFormat="1" ht="20.100000000000001" customHeight="1">
      <c r="A127" s="78">
        <v>125701</v>
      </c>
      <c r="B127" s="78">
        <v>25</v>
      </c>
      <c r="C127" s="78">
        <v>7</v>
      </c>
      <c r="D127" s="78" t="s">
        <v>852</v>
      </c>
      <c r="E127" s="78" t="s">
        <v>853</v>
      </c>
      <c r="F127" s="79"/>
      <c r="G127" s="78" t="s">
        <v>412</v>
      </c>
      <c r="H127" s="101" t="s">
        <v>681</v>
      </c>
      <c r="I127" s="101" t="s">
        <v>681</v>
      </c>
      <c r="J127" s="101" t="s">
        <v>616</v>
      </c>
      <c r="K127" s="101" t="s">
        <v>616</v>
      </c>
      <c r="L127" s="101"/>
      <c r="M127" s="101" t="s">
        <v>61</v>
      </c>
      <c r="N127" s="101" t="s">
        <v>62</v>
      </c>
      <c r="O127" s="78" t="s">
        <v>63</v>
      </c>
      <c r="P127" s="78" t="s">
        <v>64</v>
      </c>
      <c r="Q127" s="101" t="s">
        <v>617</v>
      </c>
      <c r="R127" s="122"/>
      <c r="S127" s="101"/>
      <c r="T127" s="78"/>
      <c r="U127" s="78">
        <v>1</v>
      </c>
      <c r="V127" s="78">
        <v>0</v>
      </c>
      <c r="W127" s="78"/>
      <c r="X127" s="78"/>
      <c r="Y127" s="78"/>
      <c r="Z127" s="78"/>
      <c r="AA127" s="78"/>
      <c r="AB127" s="102" t="str">
        <f t="shared" si="11"/>
        <v>;;;;;;;;;</v>
      </c>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78"/>
      <c r="AZ127" s="78"/>
      <c r="BA127" s="78"/>
      <c r="BB127" s="78"/>
      <c r="BC127" s="78"/>
      <c r="BD127" s="78"/>
      <c r="BE127" s="78"/>
      <c r="BF127" s="78"/>
      <c r="BG127" s="78" t="s">
        <v>619</v>
      </c>
      <c r="BH127" s="78"/>
    </row>
    <row r="128" spans="1:60" s="77" customFormat="1" ht="20.100000000000001" customHeight="1">
      <c r="A128" s="78">
        <v>125801</v>
      </c>
      <c r="B128" s="78">
        <v>25</v>
      </c>
      <c r="C128" s="78">
        <v>8</v>
      </c>
      <c r="D128" s="78" t="s">
        <v>1228</v>
      </c>
      <c r="E128" s="78" t="s">
        <v>1229</v>
      </c>
      <c r="F128" s="79"/>
      <c r="G128" s="78" t="s">
        <v>412</v>
      </c>
      <c r="H128" s="101" t="s">
        <v>681</v>
      </c>
      <c r="I128" s="101" t="s">
        <v>681</v>
      </c>
      <c r="J128" s="101" t="s">
        <v>616</v>
      </c>
      <c r="K128" s="101" t="s">
        <v>616</v>
      </c>
      <c r="L128" s="101"/>
      <c r="M128" s="101" t="s">
        <v>61</v>
      </c>
      <c r="N128" s="101" t="s">
        <v>62</v>
      </c>
      <c r="O128" s="78" t="s">
        <v>63</v>
      </c>
      <c r="P128" s="78" t="s">
        <v>64</v>
      </c>
      <c r="Q128" s="101" t="s">
        <v>617</v>
      </c>
      <c r="R128" s="122"/>
      <c r="S128" s="101"/>
      <c r="T128" s="78"/>
      <c r="U128" s="78">
        <v>1</v>
      </c>
      <c r="V128" s="78">
        <v>0</v>
      </c>
      <c r="W128" s="78"/>
      <c r="X128" s="78"/>
      <c r="Y128" s="78"/>
      <c r="Z128" s="78"/>
      <c r="AA128" s="78"/>
      <c r="AB128" s="102" t="str">
        <f t="shared" si="11"/>
        <v>;;;;;;;;;</v>
      </c>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78"/>
      <c r="AZ128" s="78"/>
      <c r="BA128" s="78"/>
      <c r="BB128" s="78"/>
      <c r="BC128" s="78"/>
      <c r="BD128" s="78"/>
      <c r="BE128" s="78"/>
      <c r="BF128" s="78"/>
      <c r="BG128" s="78" t="s">
        <v>619</v>
      </c>
      <c r="BH128" s="78"/>
    </row>
    <row r="129" spans="1:60" s="77" customFormat="1" ht="20.100000000000001" customHeight="1">
      <c r="A129" s="78">
        <v>125901</v>
      </c>
      <c r="B129" s="78">
        <v>25</v>
      </c>
      <c r="C129" s="78">
        <v>9</v>
      </c>
      <c r="D129" s="78" t="s">
        <v>854</v>
      </c>
      <c r="E129" s="78" t="s">
        <v>851</v>
      </c>
      <c r="F129" s="79"/>
      <c r="G129" s="78" t="s">
        <v>412</v>
      </c>
      <c r="H129" s="101" t="s">
        <v>681</v>
      </c>
      <c r="I129" s="101" t="s">
        <v>681</v>
      </c>
      <c r="J129" s="101" t="s">
        <v>616</v>
      </c>
      <c r="K129" s="101" t="s">
        <v>616</v>
      </c>
      <c r="L129" s="101"/>
      <c r="M129" s="101" t="s">
        <v>61</v>
      </c>
      <c r="N129" s="101" t="s">
        <v>62</v>
      </c>
      <c r="O129" s="78" t="s">
        <v>63</v>
      </c>
      <c r="P129" s="78" t="s">
        <v>64</v>
      </c>
      <c r="Q129" s="101" t="s">
        <v>617</v>
      </c>
      <c r="R129" s="122"/>
      <c r="S129" s="101"/>
      <c r="T129" s="78"/>
      <c r="U129" s="78">
        <v>1</v>
      </c>
      <c r="V129" s="78">
        <v>0</v>
      </c>
      <c r="W129" s="78"/>
      <c r="X129" s="78"/>
      <c r="Y129" s="78"/>
      <c r="Z129" s="78"/>
      <c r="AA129" s="78"/>
      <c r="AB129" s="102" t="str">
        <f t="shared" si="11"/>
        <v>;;;;;;;;;</v>
      </c>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78"/>
      <c r="AZ129" s="78"/>
      <c r="BA129" s="78"/>
      <c r="BB129" s="78"/>
      <c r="BC129" s="78"/>
      <c r="BD129" s="78"/>
      <c r="BE129" s="78"/>
      <c r="BF129" s="78"/>
      <c r="BG129" s="78" t="s">
        <v>619</v>
      </c>
      <c r="BH129" s="78"/>
    </row>
    <row r="130" spans="1:60" s="330" customFormat="1" ht="20.100000000000001" customHeight="1">
      <c r="A130" s="316">
        <v>126008</v>
      </c>
      <c r="B130" s="317">
        <v>26</v>
      </c>
      <c r="C130" s="317">
        <v>1</v>
      </c>
      <c r="D130" s="318" t="s">
        <v>855</v>
      </c>
      <c r="E130" s="319" t="s">
        <v>856</v>
      </c>
      <c r="F130" s="320"/>
      <c r="G130" s="317" t="s">
        <v>857</v>
      </c>
      <c r="H130" s="321" t="s">
        <v>1031</v>
      </c>
      <c r="I130" s="321" t="s">
        <v>858</v>
      </c>
      <c r="J130" s="319" t="s">
        <v>1037</v>
      </c>
      <c r="K130" s="319" t="s">
        <v>1038</v>
      </c>
      <c r="L130" s="319"/>
      <c r="M130" s="319" t="s">
        <v>61</v>
      </c>
      <c r="N130" s="319" t="s">
        <v>62</v>
      </c>
      <c r="O130" s="317" t="s">
        <v>63</v>
      </c>
      <c r="P130" s="317" t="s">
        <v>64</v>
      </c>
      <c r="Q130" s="319" t="s">
        <v>617</v>
      </c>
      <c r="R130" s="322"/>
      <c r="S130" s="319"/>
      <c r="T130" s="317"/>
      <c r="U130" s="317">
        <v>1</v>
      </c>
      <c r="V130" s="317">
        <v>0</v>
      </c>
      <c r="W130" s="317"/>
      <c r="X130" s="317"/>
      <c r="Y130" s="317"/>
      <c r="Z130" s="317"/>
      <c r="AA130" s="317"/>
      <c r="AB130" s="323" t="str">
        <f t="shared" si="11"/>
        <v>;50;;;;;;3090200:40|4040001:3|4011100:3|4013100:3|4015100:3|4016100:3;;</v>
      </c>
      <c r="AC130" s="324">
        <f>AN130</f>
        <v>1</v>
      </c>
      <c r="AD130" s="325"/>
      <c r="AE130" s="317"/>
      <c r="AF130" s="317"/>
      <c r="AG130" s="317"/>
      <c r="AH130" s="317"/>
      <c r="AI130" s="318"/>
      <c r="AJ130" s="317"/>
      <c r="AK130" s="317"/>
      <c r="AL130" s="317"/>
      <c r="AM130" s="325"/>
      <c r="AN130" s="325">
        <v>1</v>
      </c>
      <c r="AO130" s="325"/>
      <c r="AP130" s="325"/>
      <c r="AQ130" s="325"/>
      <c r="AR130" s="325"/>
      <c r="AS130" s="325"/>
      <c r="AT130" s="325"/>
      <c r="AU130" s="326"/>
      <c r="AV130" s="326"/>
      <c r="AW130" s="327"/>
      <c r="AX130" s="327">
        <v>50</v>
      </c>
      <c r="AY130" s="327"/>
      <c r="AZ130" s="327"/>
      <c r="BA130" s="327"/>
      <c r="BB130" s="327"/>
      <c r="BC130" s="327"/>
      <c r="BD130" s="328" t="s">
        <v>1007</v>
      </c>
      <c r="BE130" s="327"/>
      <c r="BF130" s="327"/>
      <c r="BG130" s="329" t="s">
        <v>633</v>
      </c>
      <c r="BH130" s="327"/>
    </row>
    <row r="131" spans="1:60" s="330" customFormat="1" ht="20.100000000000001" customHeight="1">
      <c r="A131" s="316">
        <v>126009</v>
      </c>
      <c r="B131" s="317">
        <v>26</v>
      </c>
      <c r="C131" s="317">
        <v>1</v>
      </c>
      <c r="D131" s="318" t="s">
        <v>855</v>
      </c>
      <c r="E131" s="319" t="s">
        <v>859</v>
      </c>
      <c r="F131" s="320"/>
      <c r="G131" s="317" t="s">
        <v>857</v>
      </c>
      <c r="H131" s="321" t="s">
        <v>858</v>
      </c>
      <c r="I131" s="321" t="s">
        <v>858</v>
      </c>
      <c r="J131" s="319" t="s">
        <v>1037</v>
      </c>
      <c r="K131" s="319" t="s">
        <v>1038</v>
      </c>
      <c r="L131" s="319"/>
      <c r="M131" s="319" t="s">
        <v>61</v>
      </c>
      <c r="N131" s="319" t="s">
        <v>62</v>
      </c>
      <c r="O131" s="317" t="s">
        <v>63</v>
      </c>
      <c r="P131" s="317" t="s">
        <v>64</v>
      </c>
      <c r="Q131" s="319" t="s">
        <v>617</v>
      </c>
      <c r="R131" s="322"/>
      <c r="S131" s="319"/>
      <c r="T131" s="317"/>
      <c r="U131" s="317">
        <v>1</v>
      </c>
      <c r="V131" s="317">
        <v>0</v>
      </c>
      <c r="W131" s="317"/>
      <c r="X131" s="317"/>
      <c r="Y131" s="317"/>
      <c r="Z131" s="317"/>
      <c r="AA131" s="317"/>
      <c r="AB131" s="323" t="str">
        <f t="shared" si="11"/>
        <v>;;;;;;;1010501:1|3160100:20|4070001:10|4070002:10|4070003:10|4070004:10|4070005:10|4070006:10|4011200:3|4013200:3|4015200:3|4016200:3;;</v>
      </c>
      <c r="AC131" s="324">
        <f t="shared" ref="AC131:AC135" si="16">AN131</f>
        <v>2</v>
      </c>
      <c r="AD131" s="325"/>
      <c r="AE131" s="317"/>
      <c r="AF131" s="317"/>
      <c r="AG131" s="317"/>
      <c r="AH131" s="317"/>
      <c r="AI131" s="318"/>
      <c r="AJ131" s="317"/>
      <c r="AK131" s="317"/>
      <c r="AL131" s="317"/>
      <c r="AM131" s="325"/>
      <c r="AN131" s="325">
        <v>2</v>
      </c>
      <c r="AO131" s="325"/>
      <c r="AP131" s="325"/>
      <c r="AQ131" s="325"/>
      <c r="AR131" s="325"/>
      <c r="AS131" s="325"/>
      <c r="AT131" s="325"/>
      <c r="AU131" s="326"/>
      <c r="AV131" s="326"/>
      <c r="AW131" s="327"/>
      <c r="AX131" s="327"/>
      <c r="AY131" s="327"/>
      <c r="AZ131" s="327"/>
      <c r="BA131" s="327"/>
      <c r="BB131" s="327"/>
      <c r="BC131" s="327"/>
      <c r="BD131" s="331" t="s">
        <v>1008</v>
      </c>
      <c r="BE131" s="327"/>
      <c r="BF131" s="327"/>
      <c r="BG131" s="329" t="s">
        <v>633</v>
      </c>
      <c r="BH131" s="327"/>
    </row>
    <row r="132" spans="1:60" s="330" customFormat="1" ht="20.100000000000001" customHeight="1">
      <c r="A132" s="316">
        <v>126010</v>
      </c>
      <c r="B132" s="317">
        <v>26</v>
      </c>
      <c r="C132" s="317">
        <v>1</v>
      </c>
      <c r="D132" s="318" t="s">
        <v>855</v>
      </c>
      <c r="E132" s="319" t="s">
        <v>860</v>
      </c>
      <c r="F132" s="320"/>
      <c r="G132" s="317" t="s">
        <v>857</v>
      </c>
      <c r="H132" s="321" t="s">
        <v>858</v>
      </c>
      <c r="I132" s="321" t="s">
        <v>858</v>
      </c>
      <c r="J132" s="319" t="s">
        <v>1037</v>
      </c>
      <c r="K132" s="319" t="s">
        <v>1038</v>
      </c>
      <c r="L132" s="319"/>
      <c r="M132" s="319" t="s">
        <v>61</v>
      </c>
      <c r="N132" s="319" t="s">
        <v>62</v>
      </c>
      <c r="O132" s="317" t="s">
        <v>63</v>
      </c>
      <c r="P132" s="317" t="s">
        <v>64</v>
      </c>
      <c r="Q132" s="319" t="s">
        <v>617</v>
      </c>
      <c r="R132" s="322"/>
      <c r="S132" s="319"/>
      <c r="T132" s="317"/>
      <c r="U132" s="317">
        <v>1</v>
      </c>
      <c r="V132" s="317">
        <v>0</v>
      </c>
      <c r="W132" s="317"/>
      <c r="X132" s="317"/>
      <c r="Y132" s="317"/>
      <c r="Z132" s="317"/>
      <c r="AA132" s="317"/>
      <c r="AB132" s="323" t="str">
        <f t="shared" si="11"/>
        <v>;;;;;;;1020400:1|3040000:20|4040004:3|4011300:3|4013300:3|4015300:3|4016300:3;;</v>
      </c>
      <c r="AC132" s="324">
        <f t="shared" si="16"/>
        <v>3</v>
      </c>
      <c r="AD132" s="325"/>
      <c r="AE132" s="317"/>
      <c r="AF132" s="317"/>
      <c r="AG132" s="317"/>
      <c r="AH132" s="317"/>
      <c r="AI132" s="318"/>
      <c r="AJ132" s="317"/>
      <c r="AK132" s="317"/>
      <c r="AL132" s="317"/>
      <c r="AM132" s="325"/>
      <c r="AN132" s="325">
        <v>3</v>
      </c>
      <c r="AO132" s="325"/>
      <c r="AP132" s="325"/>
      <c r="AQ132" s="325"/>
      <c r="AR132" s="325"/>
      <c r="AS132" s="325"/>
      <c r="AT132" s="325"/>
      <c r="AU132" s="326"/>
      <c r="AV132" s="326"/>
      <c r="AW132" s="327"/>
      <c r="AX132" s="327"/>
      <c r="AY132" s="327"/>
      <c r="AZ132" s="327"/>
      <c r="BA132" s="327"/>
      <c r="BB132" s="327"/>
      <c r="BC132" s="327"/>
      <c r="BD132" s="328" t="s">
        <v>1009</v>
      </c>
      <c r="BE132" s="327"/>
      <c r="BF132" s="327"/>
      <c r="BG132" s="329" t="s">
        <v>633</v>
      </c>
      <c r="BH132" s="327"/>
    </row>
    <row r="133" spans="1:60" s="330" customFormat="1" ht="20.100000000000001" customHeight="1">
      <c r="A133" s="316">
        <v>126011</v>
      </c>
      <c r="B133" s="317">
        <v>26</v>
      </c>
      <c r="C133" s="317">
        <v>1</v>
      </c>
      <c r="D133" s="318" t="s">
        <v>855</v>
      </c>
      <c r="E133" s="319" t="s">
        <v>861</v>
      </c>
      <c r="F133" s="320"/>
      <c r="G133" s="317" t="s">
        <v>857</v>
      </c>
      <c r="H133" s="321" t="s">
        <v>858</v>
      </c>
      <c r="I133" s="321" t="s">
        <v>858</v>
      </c>
      <c r="J133" s="319" t="s">
        <v>1037</v>
      </c>
      <c r="K133" s="319" t="s">
        <v>1038</v>
      </c>
      <c r="L133" s="319"/>
      <c r="M133" s="319" t="s">
        <v>61</v>
      </c>
      <c r="N133" s="319" t="s">
        <v>62</v>
      </c>
      <c r="O133" s="317" t="s">
        <v>63</v>
      </c>
      <c r="P133" s="317" t="s">
        <v>64</v>
      </c>
      <c r="Q133" s="319" t="s">
        <v>617</v>
      </c>
      <c r="R133" s="322"/>
      <c r="S133" s="319"/>
      <c r="T133" s="317"/>
      <c r="U133" s="317">
        <v>1</v>
      </c>
      <c r="V133" s="317">
        <v>0</v>
      </c>
      <c r="W133" s="317"/>
      <c r="X133" s="317"/>
      <c r="Y133" s="317"/>
      <c r="Z133" s="317"/>
      <c r="AA133" s="317"/>
      <c r="AB133" s="323" t="str">
        <f t="shared" si="11"/>
        <v>;;;;;;;1030400:1|3090200:40|4040005:3|4011100:3|4013100:3|4015100:3|4016100:3;;</v>
      </c>
      <c r="AC133" s="324">
        <f t="shared" si="16"/>
        <v>4</v>
      </c>
      <c r="AD133" s="325"/>
      <c r="AE133" s="317"/>
      <c r="AF133" s="317"/>
      <c r="AG133" s="317"/>
      <c r="AH133" s="317"/>
      <c r="AI133" s="318"/>
      <c r="AJ133" s="317"/>
      <c r="AK133" s="317"/>
      <c r="AL133" s="317"/>
      <c r="AM133" s="325"/>
      <c r="AN133" s="325">
        <v>4</v>
      </c>
      <c r="AO133" s="325"/>
      <c r="AP133" s="325"/>
      <c r="AQ133" s="325"/>
      <c r="AR133" s="325"/>
      <c r="AS133" s="325"/>
      <c r="AT133" s="325"/>
      <c r="AU133" s="326"/>
      <c r="AV133" s="326"/>
      <c r="AW133" s="327"/>
      <c r="AX133" s="327"/>
      <c r="AY133" s="327"/>
      <c r="AZ133" s="327"/>
      <c r="BA133" s="327"/>
      <c r="BB133" s="327"/>
      <c r="BC133" s="327"/>
      <c r="BD133" s="332" t="s">
        <v>1010</v>
      </c>
      <c r="BE133" s="327"/>
      <c r="BF133" s="327"/>
      <c r="BG133" s="329" t="s">
        <v>633</v>
      </c>
      <c r="BH133" s="327"/>
    </row>
    <row r="134" spans="1:60" s="330" customFormat="1" ht="20.100000000000001" customHeight="1">
      <c r="A134" s="316">
        <v>126012</v>
      </c>
      <c r="B134" s="317">
        <v>26</v>
      </c>
      <c r="C134" s="317">
        <v>1</v>
      </c>
      <c r="D134" s="318" t="s">
        <v>855</v>
      </c>
      <c r="E134" s="319" t="s">
        <v>862</v>
      </c>
      <c r="F134" s="320"/>
      <c r="G134" s="317" t="s">
        <v>857</v>
      </c>
      <c r="H134" s="321" t="s">
        <v>858</v>
      </c>
      <c r="I134" s="321" t="s">
        <v>858</v>
      </c>
      <c r="J134" s="319" t="s">
        <v>1037</v>
      </c>
      <c r="K134" s="319" t="s">
        <v>1038</v>
      </c>
      <c r="L134" s="319"/>
      <c r="M134" s="319" t="s">
        <v>61</v>
      </c>
      <c r="N134" s="319" t="s">
        <v>62</v>
      </c>
      <c r="O134" s="317" t="s">
        <v>63</v>
      </c>
      <c r="P134" s="317" t="s">
        <v>64</v>
      </c>
      <c r="Q134" s="319" t="s">
        <v>617</v>
      </c>
      <c r="R134" s="322"/>
      <c r="S134" s="319"/>
      <c r="T134" s="317"/>
      <c r="U134" s="317">
        <v>1</v>
      </c>
      <c r="V134" s="317">
        <v>0</v>
      </c>
      <c r="W134" s="317"/>
      <c r="X134" s="317"/>
      <c r="Y134" s="317"/>
      <c r="Z134" s="317"/>
      <c r="AA134" s="317"/>
      <c r="AB134" s="323" t="str">
        <f t="shared" si="11"/>
        <v>;;;;;;;1040400:1|3160100:20|4040001:3|4011200:3|4013200:3|4015200:3|4016200:3;;</v>
      </c>
      <c r="AC134" s="324">
        <f t="shared" si="16"/>
        <v>5</v>
      </c>
      <c r="AD134" s="325"/>
      <c r="AE134" s="317"/>
      <c r="AF134" s="317"/>
      <c r="AG134" s="317"/>
      <c r="AH134" s="317"/>
      <c r="AI134" s="318"/>
      <c r="AJ134" s="317"/>
      <c r="AK134" s="317"/>
      <c r="AL134" s="317"/>
      <c r="AM134" s="325"/>
      <c r="AN134" s="325">
        <v>5</v>
      </c>
      <c r="AO134" s="325"/>
      <c r="AP134" s="325"/>
      <c r="AQ134" s="325"/>
      <c r="AR134" s="325"/>
      <c r="AS134" s="325"/>
      <c r="AT134" s="325"/>
      <c r="AU134" s="326"/>
      <c r="AV134" s="326"/>
      <c r="AW134" s="327"/>
      <c r="AX134" s="327"/>
      <c r="AY134" s="327"/>
      <c r="AZ134" s="327"/>
      <c r="BA134" s="327"/>
      <c r="BB134" s="327"/>
      <c r="BC134" s="327"/>
      <c r="BD134" s="327" t="s">
        <v>1011</v>
      </c>
      <c r="BE134" s="327"/>
      <c r="BF134" s="327"/>
      <c r="BG134" s="329" t="s">
        <v>633</v>
      </c>
      <c r="BH134" s="327"/>
    </row>
    <row r="135" spans="1:60" s="330" customFormat="1" ht="20.100000000000001" customHeight="1">
      <c r="A135" s="316">
        <v>126013</v>
      </c>
      <c r="B135" s="317">
        <v>26</v>
      </c>
      <c r="C135" s="317">
        <v>1</v>
      </c>
      <c r="D135" s="318" t="s">
        <v>855</v>
      </c>
      <c r="E135" s="319" t="s">
        <v>863</v>
      </c>
      <c r="F135" s="320"/>
      <c r="G135" s="317" t="s">
        <v>857</v>
      </c>
      <c r="H135" s="321" t="s">
        <v>858</v>
      </c>
      <c r="I135" s="321" t="s">
        <v>858</v>
      </c>
      <c r="J135" s="319" t="s">
        <v>1037</v>
      </c>
      <c r="K135" s="319" t="s">
        <v>1038</v>
      </c>
      <c r="L135" s="319"/>
      <c r="M135" s="319" t="s">
        <v>61</v>
      </c>
      <c r="N135" s="319" t="s">
        <v>62</v>
      </c>
      <c r="O135" s="317" t="s">
        <v>63</v>
      </c>
      <c r="P135" s="317" t="s">
        <v>64</v>
      </c>
      <c r="Q135" s="319" t="s">
        <v>617</v>
      </c>
      <c r="R135" s="322"/>
      <c r="S135" s="319"/>
      <c r="T135" s="317"/>
      <c r="U135" s="317">
        <v>1</v>
      </c>
      <c r="V135" s="317">
        <v>0</v>
      </c>
      <c r="W135" s="317"/>
      <c r="X135" s="317"/>
      <c r="Y135" s="317"/>
      <c r="Z135" s="317"/>
      <c r="AA135" s="317"/>
      <c r="AB135" s="323" t="str">
        <f t="shared" si="11"/>
        <v>;;;;;;;1050400:1|13040000:20|4040004:3|4011300:3|4013300:3|4015300:3|4016300:3;;</v>
      </c>
      <c r="AC135" s="324">
        <f t="shared" si="16"/>
        <v>6</v>
      </c>
      <c r="AD135" s="325"/>
      <c r="AE135" s="317"/>
      <c r="AF135" s="317"/>
      <c r="AG135" s="317"/>
      <c r="AH135" s="317"/>
      <c r="AI135" s="318"/>
      <c r="AJ135" s="317"/>
      <c r="AK135" s="317"/>
      <c r="AL135" s="317"/>
      <c r="AM135" s="325"/>
      <c r="AN135" s="325">
        <v>6</v>
      </c>
      <c r="AO135" s="325"/>
      <c r="AP135" s="325"/>
      <c r="AQ135" s="325"/>
      <c r="AR135" s="325"/>
      <c r="AS135" s="325"/>
      <c r="AT135" s="325"/>
      <c r="AU135" s="326"/>
      <c r="AV135" s="326"/>
      <c r="AW135" s="327"/>
      <c r="AX135" s="327"/>
      <c r="AY135" s="327"/>
      <c r="AZ135" s="327"/>
      <c r="BA135" s="327"/>
      <c r="BB135" s="327"/>
      <c r="BC135" s="327"/>
      <c r="BD135" s="328" t="s">
        <v>1027</v>
      </c>
      <c r="BE135" s="327"/>
      <c r="BF135" s="327"/>
      <c r="BG135" s="329" t="s">
        <v>633</v>
      </c>
      <c r="BH135" s="327"/>
    </row>
    <row r="136" spans="1:60" s="330" customFormat="1" ht="20.100000000000001" customHeight="1">
      <c r="A136" s="316">
        <v>126014</v>
      </c>
      <c r="B136" s="317">
        <v>26</v>
      </c>
      <c r="C136" s="317">
        <v>1</v>
      </c>
      <c r="D136" s="318" t="s">
        <v>855</v>
      </c>
      <c r="E136" s="319" t="s">
        <v>864</v>
      </c>
      <c r="F136" s="320"/>
      <c r="G136" s="317" t="s">
        <v>857</v>
      </c>
      <c r="H136" s="321" t="s">
        <v>858</v>
      </c>
      <c r="I136" s="321" t="s">
        <v>858</v>
      </c>
      <c r="J136" s="319" t="s">
        <v>1037</v>
      </c>
      <c r="K136" s="319" t="s">
        <v>1038</v>
      </c>
      <c r="L136" s="319"/>
      <c r="M136" s="319" t="s">
        <v>61</v>
      </c>
      <c r="N136" s="319" t="s">
        <v>62</v>
      </c>
      <c r="O136" s="317" t="s">
        <v>63</v>
      </c>
      <c r="P136" s="317" t="s">
        <v>64</v>
      </c>
      <c r="Q136" s="319" t="s">
        <v>617</v>
      </c>
      <c r="R136" s="322"/>
      <c r="S136" s="319"/>
      <c r="T136" s="317"/>
      <c r="U136" s="317">
        <v>1</v>
      </c>
      <c r="V136" s="317">
        <v>0</v>
      </c>
      <c r="W136" s="317"/>
      <c r="X136" s="317"/>
      <c r="Y136" s="317"/>
      <c r="Z136" s="317"/>
      <c r="AA136" s="317"/>
      <c r="AB136" s="323" t="str">
        <f t="shared" si="11"/>
        <v>;;;;;;;1060400:1|13090200:40|4060002:10|4060009:10|4060016:10|4060023:10|4060030:10|4060037:10|4011100:3|4013100:3|4015100:3|4016100:3;;</v>
      </c>
      <c r="AC136" s="324">
        <v>7</v>
      </c>
      <c r="AD136" s="325"/>
      <c r="AE136" s="317"/>
      <c r="AF136" s="317"/>
      <c r="AG136" s="317"/>
      <c r="AH136" s="317"/>
      <c r="AI136" s="318"/>
      <c r="AJ136" s="317"/>
      <c r="AK136" s="317"/>
      <c r="AL136" s="317"/>
      <c r="AM136" s="325"/>
      <c r="AN136" s="325">
        <v>7</v>
      </c>
      <c r="AO136" s="325"/>
      <c r="AP136" s="325"/>
      <c r="AQ136" s="325"/>
      <c r="AR136" s="325"/>
      <c r="AS136" s="325"/>
      <c r="AT136" s="325"/>
      <c r="AU136" s="326"/>
      <c r="AV136" s="326"/>
      <c r="AW136" s="327"/>
      <c r="AX136" s="327"/>
      <c r="AY136" s="327"/>
      <c r="AZ136" s="327"/>
      <c r="BA136" s="327"/>
      <c r="BB136" s="327"/>
      <c r="BC136" s="327"/>
      <c r="BD136" s="333" t="s">
        <v>1028</v>
      </c>
      <c r="BE136" s="327"/>
      <c r="BF136" s="327"/>
      <c r="BG136" s="329" t="s">
        <v>633</v>
      </c>
      <c r="BH136" s="327"/>
    </row>
    <row r="137" spans="1:60" s="330" customFormat="1" ht="20.100000000000001" customHeight="1">
      <c r="A137" s="316">
        <v>126015</v>
      </c>
      <c r="B137" s="317">
        <v>26</v>
      </c>
      <c r="C137" s="317">
        <v>1</v>
      </c>
      <c r="D137" s="318" t="s">
        <v>855</v>
      </c>
      <c r="E137" s="319" t="s">
        <v>993</v>
      </c>
      <c r="F137" s="320"/>
      <c r="G137" s="317" t="s">
        <v>857</v>
      </c>
      <c r="H137" s="321" t="s">
        <v>858</v>
      </c>
      <c r="I137" s="321" t="s">
        <v>858</v>
      </c>
      <c r="J137" s="319" t="s">
        <v>1037</v>
      </c>
      <c r="K137" s="319" t="s">
        <v>1038</v>
      </c>
      <c r="L137" s="319"/>
      <c r="M137" s="319" t="s">
        <v>61</v>
      </c>
      <c r="N137" s="319" t="s">
        <v>62</v>
      </c>
      <c r="O137" s="317" t="s">
        <v>63</v>
      </c>
      <c r="P137" s="317" t="s">
        <v>64</v>
      </c>
      <c r="Q137" s="319" t="s">
        <v>617</v>
      </c>
      <c r="R137" s="322"/>
      <c r="S137" s="319"/>
      <c r="T137" s="317"/>
      <c r="U137" s="317">
        <v>1</v>
      </c>
      <c r="V137" s="317">
        <v>0</v>
      </c>
      <c r="W137" s="317"/>
      <c r="X137" s="317"/>
      <c r="Y137" s="317"/>
      <c r="Z137" s="317"/>
      <c r="AA137" s="317"/>
      <c r="AB137" s="323" t="str">
        <f t="shared" si="11"/>
        <v>50000;;;;;;;3160100:20|4040005:3|4011200:3|4013200:3|4015200:3|4016200:3;;</v>
      </c>
      <c r="AC137" s="324">
        <v>8</v>
      </c>
      <c r="AD137" s="325"/>
      <c r="AE137" s="317"/>
      <c r="AF137" s="317"/>
      <c r="AG137" s="317"/>
      <c r="AH137" s="317"/>
      <c r="AI137" s="318"/>
      <c r="AJ137" s="317"/>
      <c r="AK137" s="317"/>
      <c r="AL137" s="317"/>
      <c r="AM137" s="325"/>
      <c r="AN137" s="325">
        <v>8</v>
      </c>
      <c r="AO137" s="325"/>
      <c r="AP137" s="325"/>
      <c r="AQ137" s="325"/>
      <c r="AR137" s="325"/>
      <c r="AS137" s="325"/>
      <c r="AT137" s="325"/>
      <c r="AU137" s="326"/>
      <c r="AV137" s="326"/>
      <c r="AW137" s="327">
        <v>50000</v>
      </c>
      <c r="AX137" s="327"/>
      <c r="AY137" s="327"/>
      <c r="AZ137" s="327"/>
      <c r="BA137" s="327"/>
      <c r="BB137" s="327"/>
      <c r="BC137" s="327"/>
      <c r="BD137" s="334" t="s">
        <v>1012</v>
      </c>
      <c r="BE137" s="327"/>
      <c r="BF137" s="327"/>
      <c r="BG137" s="329" t="s">
        <v>633</v>
      </c>
      <c r="BH137" s="327"/>
    </row>
    <row r="138" spans="1:60" s="330" customFormat="1" ht="20.100000000000001" customHeight="1">
      <c r="A138" s="316">
        <v>126016</v>
      </c>
      <c r="B138" s="317">
        <v>26</v>
      </c>
      <c r="C138" s="317">
        <v>1</v>
      </c>
      <c r="D138" s="318" t="s">
        <v>855</v>
      </c>
      <c r="E138" s="319" t="s">
        <v>994</v>
      </c>
      <c r="F138" s="320"/>
      <c r="G138" s="317" t="s">
        <v>857</v>
      </c>
      <c r="H138" s="321" t="s">
        <v>858</v>
      </c>
      <c r="I138" s="321" t="s">
        <v>858</v>
      </c>
      <c r="J138" s="319" t="s">
        <v>1037</v>
      </c>
      <c r="K138" s="319" t="s">
        <v>1038</v>
      </c>
      <c r="L138" s="319"/>
      <c r="M138" s="319" t="s">
        <v>61</v>
      </c>
      <c r="N138" s="319" t="s">
        <v>62</v>
      </c>
      <c r="O138" s="317" t="s">
        <v>63</v>
      </c>
      <c r="P138" s="317" t="s">
        <v>64</v>
      </c>
      <c r="Q138" s="319" t="s">
        <v>617</v>
      </c>
      <c r="R138" s="322"/>
      <c r="S138" s="319"/>
      <c r="T138" s="317"/>
      <c r="U138" s="317">
        <v>1</v>
      </c>
      <c r="V138" s="317">
        <v>0</v>
      </c>
      <c r="W138" s="317"/>
      <c r="X138" s="317"/>
      <c r="Y138" s="317"/>
      <c r="Z138" s="317"/>
      <c r="AA138" s="317"/>
      <c r="AB138" s="323" t="str">
        <f t="shared" si="11"/>
        <v>;50;;;;;;3040000:20|4040001:3|4011300:3|4013300:3|4015300:3|4016300:3;;</v>
      </c>
      <c r="AC138" s="324">
        <v>9</v>
      </c>
      <c r="AD138" s="325"/>
      <c r="AE138" s="317"/>
      <c r="AF138" s="317"/>
      <c r="AG138" s="317"/>
      <c r="AH138" s="317"/>
      <c r="AI138" s="318"/>
      <c r="AJ138" s="317"/>
      <c r="AK138" s="317"/>
      <c r="AL138" s="317"/>
      <c r="AM138" s="325"/>
      <c r="AN138" s="325">
        <v>9</v>
      </c>
      <c r="AO138" s="325"/>
      <c r="AP138" s="325"/>
      <c r="AQ138" s="325"/>
      <c r="AR138" s="325"/>
      <c r="AS138" s="325"/>
      <c r="AT138" s="325"/>
      <c r="AU138" s="326"/>
      <c r="AV138" s="326"/>
      <c r="AW138" s="327"/>
      <c r="AX138" s="327">
        <v>50</v>
      </c>
      <c r="AY138" s="327"/>
      <c r="AZ138" s="327"/>
      <c r="BA138" s="327"/>
      <c r="BB138" s="327"/>
      <c r="BC138" s="327"/>
      <c r="BD138" s="334" t="s">
        <v>1013</v>
      </c>
      <c r="BE138" s="327"/>
      <c r="BF138" s="327"/>
      <c r="BG138" s="329" t="s">
        <v>633</v>
      </c>
      <c r="BH138" s="327"/>
    </row>
    <row r="139" spans="1:60" s="330" customFormat="1" ht="20.100000000000001" customHeight="1">
      <c r="A139" s="316">
        <v>126017</v>
      </c>
      <c r="B139" s="317">
        <v>26</v>
      </c>
      <c r="C139" s="317">
        <v>1</v>
      </c>
      <c r="D139" s="318" t="s">
        <v>855</v>
      </c>
      <c r="E139" s="319" t="s">
        <v>995</v>
      </c>
      <c r="F139" s="320"/>
      <c r="G139" s="317" t="s">
        <v>857</v>
      </c>
      <c r="H139" s="321" t="s">
        <v>858</v>
      </c>
      <c r="I139" s="321" t="s">
        <v>858</v>
      </c>
      <c r="J139" s="319" t="s">
        <v>1037</v>
      </c>
      <c r="K139" s="319" t="s">
        <v>1038</v>
      </c>
      <c r="L139" s="319"/>
      <c r="M139" s="319" t="s">
        <v>61</v>
      </c>
      <c r="N139" s="319" t="s">
        <v>62</v>
      </c>
      <c r="O139" s="317" t="s">
        <v>63</v>
      </c>
      <c r="P139" s="317" t="s">
        <v>64</v>
      </c>
      <c r="Q139" s="319" t="s">
        <v>617</v>
      </c>
      <c r="R139" s="322"/>
      <c r="S139" s="319"/>
      <c r="T139" s="317"/>
      <c r="U139" s="317">
        <v>1</v>
      </c>
      <c r="V139" s="317">
        <v>0</v>
      </c>
      <c r="W139" s="317"/>
      <c r="X139" s="317"/>
      <c r="Y139" s="317"/>
      <c r="Z139" s="317"/>
      <c r="AA139" s="317"/>
      <c r="AB139" s="323" t="str">
        <f t="shared" si="11"/>
        <v>50000;;;;;;;3090200:40|4040004:3|4011100:3|4013100:3|4015100:3|4016100:3;;</v>
      </c>
      <c r="AC139" s="324">
        <v>10</v>
      </c>
      <c r="AD139" s="325"/>
      <c r="AE139" s="317"/>
      <c r="AF139" s="317"/>
      <c r="AG139" s="317"/>
      <c r="AH139" s="317"/>
      <c r="AI139" s="318"/>
      <c r="AJ139" s="317"/>
      <c r="AK139" s="317"/>
      <c r="AL139" s="317"/>
      <c r="AM139" s="325"/>
      <c r="AN139" s="325">
        <v>10</v>
      </c>
      <c r="AO139" s="325"/>
      <c r="AP139" s="325"/>
      <c r="AQ139" s="325"/>
      <c r="AR139" s="325"/>
      <c r="AS139" s="325"/>
      <c r="AT139" s="325"/>
      <c r="AU139" s="326"/>
      <c r="AV139" s="326"/>
      <c r="AW139" s="327">
        <v>50000</v>
      </c>
      <c r="AX139" s="327"/>
      <c r="AY139" s="327"/>
      <c r="AZ139" s="327"/>
      <c r="BA139" s="327"/>
      <c r="BB139" s="327"/>
      <c r="BC139" s="327"/>
      <c r="BD139" s="334" t="s">
        <v>1014</v>
      </c>
      <c r="BE139" s="327"/>
      <c r="BF139" s="327"/>
      <c r="BG139" s="329" t="s">
        <v>633</v>
      </c>
      <c r="BH139" s="327"/>
    </row>
    <row r="140" spans="1:60" s="330" customFormat="1" ht="20.100000000000001" customHeight="1">
      <c r="A140" s="316">
        <v>126018</v>
      </c>
      <c r="B140" s="317">
        <v>26</v>
      </c>
      <c r="C140" s="317">
        <v>1</v>
      </c>
      <c r="D140" s="318" t="s">
        <v>855</v>
      </c>
      <c r="E140" s="319" t="s">
        <v>996</v>
      </c>
      <c r="F140" s="320"/>
      <c r="G140" s="317" t="s">
        <v>857</v>
      </c>
      <c r="H140" s="321" t="s">
        <v>858</v>
      </c>
      <c r="I140" s="321" t="s">
        <v>858</v>
      </c>
      <c r="J140" s="319" t="s">
        <v>1037</v>
      </c>
      <c r="K140" s="319" t="s">
        <v>1038</v>
      </c>
      <c r="L140" s="319"/>
      <c r="M140" s="319" t="s">
        <v>61</v>
      </c>
      <c r="N140" s="319" t="s">
        <v>62</v>
      </c>
      <c r="O140" s="317" t="s">
        <v>63</v>
      </c>
      <c r="P140" s="317" t="s">
        <v>64</v>
      </c>
      <c r="Q140" s="319" t="s">
        <v>617</v>
      </c>
      <c r="R140" s="322"/>
      <c r="S140" s="319"/>
      <c r="T140" s="317"/>
      <c r="U140" s="317">
        <v>1</v>
      </c>
      <c r="V140" s="317">
        <v>0</v>
      </c>
      <c r="W140" s="317"/>
      <c r="X140" s="317"/>
      <c r="Y140" s="317"/>
      <c r="Z140" s="317"/>
      <c r="AA140" s="317"/>
      <c r="AB140" s="323" t="str">
        <f t="shared" si="11"/>
        <v>;50;;;;;;3160100:20|4040005:3|4011200:3|4013200:3|4015200:3|4016200:3;;</v>
      </c>
      <c r="AC140" s="324">
        <v>11</v>
      </c>
      <c r="AD140" s="325"/>
      <c r="AE140" s="317"/>
      <c r="AF140" s="317"/>
      <c r="AG140" s="317"/>
      <c r="AH140" s="317"/>
      <c r="AI140" s="318"/>
      <c r="AJ140" s="317"/>
      <c r="AK140" s="317"/>
      <c r="AL140" s="317"/>
      <c r="AM140" s="325"/>
      <c r="AN140" s="325">
        <v>11</v>
      </c>
      <c r="AO140" s="325"/>
      <c r="AP140" s="325"/>
      <c r="AQ140" s="325"/>
      <c r="AR140" s="325"/>
      <c r="AS140" s="325"/>
      <c r="AT140" s="325"/>
      <c r="AU140" s="326"/>
      <c r="AV140" s="326"/>
      <c r="AW140" s="327"/>
      <c r="AX140" s="327">
        <v>50</v>
      </c>
      <c r="AY140" s="327"/>
      <c r="AZ140" s="327"/>
      <c r="BA140" s="327"/>
      <c r="BB140" s="327"/>
      <c r="BC140" s="327"/>
      <c r="BD140" s="334" t="s">
        <v>1012</v>
      </c>
      <c r="BE140" s="327"/>
      <c r="BF140" s="327"/>
      <c r="BG140" s="329" t="s">
        <v>633</v>
      </c>
      <c r="BH140" s="327"/>
    </row>
    <row r="141" spans="1:60" s="330" customFormat="1" ht="20.100000000000001" customHeight="1">
      <c r="A141" s="316">
        <v>126019</v>
      </c>
      <c r="B141" s="317">
        <v>26</v>
      </c>
      <c r="C141" s="317">
        <v>1</v>
      </c>
      <c r="D141" s="318" t="s">
        <v>855</v>
      </c>
      <c r="E141" s="319" t="s">
        <v>997</v>
      </c>
      <c r="F141" s="320"/>
      <c r="G141" s="317" t="s">
        <v>857</v>
      </c>
      <c r="H141" s="321" t="s">
        <v>858</v>
      </c>
      <c r="I141" s="321" t="s">
        <v>858</v>
      </c>
      <c r="J141" s="319" t="s">
        <v>1037</v>
      </c>
      <c r="K141" s="319" t="s">
        <v>1038</v>
      </c>
      <c r="L141" s="319"/>
      <c r="M141" s="319" t="s">
        <v>61</v>
      </c>
      <c r="N141" s="319" t="s">
        <v>62</v>
      </c>
      <c r="O141" s="317" t="s">
        <v>63</v>
      </c>
      <c r="P141" s="317" t="s">
        <v>64</v>
      </c>
      <c r="Q141" s="319" t="s">
        <v>617</v>
      </c>
      <c r="R141" s="322"/>
      <c r="S141" s="319"/>
      <c r="T141" s="317"/>
      <c r="U141" s="317">
        <v>1</v>
      </c>
      <c r="V141" s="317">
        <v>0</v>
      </c>
      <c r="W141" s="317"/>
      <c r="X141" s="317"/>
      <c r="Y141" s="317"/>
      <c r="Z141" s="317"/>
      <c r="AA141" s="317"/>
      <c r="AB141" s="323" t="str">
        <f t="shared" ref="AB141:AB150" si="17">CONCATENATE(AW141,BG141,AX141,BG141,AY141,BG141,AZ141,BG141,BA141,BG141,BB141,BG141,BC141,BG141,BD141,BG141,BE141,BG141,BF141)</f>
        <v>50000;;;;;;;3040000:20|4040001:3|4011300:3|4013300:3|4015300:3|4016300:3;;</v>
      </c>
      <c r="AC141" s="324">
        <v>12</v>
      </c>
      <c r="AD141" s="325"/>
      <c r="AE141" s="317"/>
      <c r="AF141" s="317"/>
      <c r="AG141" s="317"/>
      <c r="AH141" s="317"/>
      <c r="AI141" s="318"/>
      <c r="AJ141" s="317"/>
      <c r="AK141" s="317"/>
      <c r="AL141" s="317"/>
      <c r="AM141" s="325"/>
      <c r="AN141" s="325">
        <v>12</v>
      </c>
      <c r="AO141" s="325"/>
      <c r="AP141" s="325"/>
      <c r="AQ141" s="325"/>
      <c r="AR141" s="325"/>
      <c r="AS141" s="325"/>
      <c r="AT141" s="325"/>
      <c r="AU141" s="326"/>
      <c r="AV141" s="326"/>
      <c r="AW141" s="327">
        <v>50000</v>
      </c>
      <c r="AX141" s="327"/>
      <c r="AY141" s="327"/>
      <c r="AZ141" s="327"/>
      <c r="BA141" s="327"/>
      <c r="BB141" s="327"/>
      <c r="BC141" s="327"/>
      <c r="BD141" s="334" t="s">
        <v>1013</v>
      </c>
      <c r="BE141" s="327"/>
      <c r="BF141" s="327"/>
      <c r="BG141" s="329" t="s">
        <v>633</v>
      </c>
      <c r="BH141" s="327"/>
    </row>
    <row r="142" spans="1:60" s="330" customFormat="1" ht="20.100000000000001" customHeight="1">
      <c r="A142" s="316">
        <v>126020</v>
      </c>
      <c r="B142" s="317">
        <v>26</v>
      </c>
      <c r="C142" s="317">
        <v>1</v>
      </c>
      <c r="D142" s="318" t="s">
        <v>855</v>
      </c>
      <c r="E142" s="319" t="s">
        <v>998</v>
      </c>
      <c r="F142" s="320"/>
      <c r="G142" s="317" t="s">
        <v>857</v>
      </c>
      <c r="H142" s="321" t="s">
        <v>858</v>
      </c>
      <c r="I142" s="321" t="s">
        <v>858</v>
      </c>
      <c r="J142" s="319" t="s">
        <v>1037</v>
      </c>
      <c r="K142" s="319" t="s">
        <v>1038</v>
      </c>
      <c r="L142" s="319"/>
      <c r="M142" s="319" t="s">
        <v>61</v>
      </c>
      <c r="N142" s="319" t="s">
        <v>62</v>
      </c>
      <c r="O142" s="317" t="s">
        <v>63</v>
      </c>
      <c r="P142" s="317" t="s">
        <v>64</v>
      </c>
      <c r="Q142" s="319" t="s">
        <v>617</v>
      </c>
      <c r="R142" s="322"/>
      <c r="S142" s="319"/>
      <c r="T142" s="317"/>
      <c r="U142" s="317">
        <v>1</v>
      </c>
      <c r="V142" s="317">
        <v>0</v>
      </c>
      <c r="W142" s="317"/>
      <c r="X142" s="317"/>
      <c r="Y142" s="317"/>
      <c r="Z142" s="317"/>
      <c r="AA142" s="317"/>
      <c r="AB142" s="323" t="str">
        <f t="shared" si="17"/>
        <v>;50;;;;;;3090200:40|4040004:3|4011100:3|4013100:3|4015100:3|4016100:3;;</v>
      </c>
      <c r="AC142" s="324">
        <v>13</v>
      </c>
      <c r="AD142" s="325"/>
      <c r="AE142" s="317"/>
      <c r="AF142" s="317"/>
      <c r="AG142" s="317"/>
      <c r="AH142" s="317"/>
      <c r="AI142" s="318"/>
      <c r="AJ142" s="317"/>
      <c r="AK142" s="317"/>
      <c r="AL142" s="317"/>
      <c r="AM142" s="325"/>
      <c r="AN142" s="325">
        <v>13</v>
      </c>
      <c r="AO142" s="325"/>
      <c r="AP142" s="325"/>
      <c r="AQ142" s="325"/>
      <c r="AR142" s="325"/>
      <c r="AS142" s="325"/>
      <c r="AT142" s="325"/>
      <c r="AU142" s="326"/>
      <c r="AV142" s="326"/>
      <c r="AW142" s="327"/>
      <c r="AX142" s="327">
        <v>50</v>
      </c>
      <c r="AY142" s="327"/>
      <c r="AZ142" s="327"/>
      <c r="BA142" s="327"/>
      <c r="BB142" s="327"/>
      <c r="BC142" s="327"/>
      <c r="BD142" s="334" t="s">
        <v>1014</v>
      </c>
      <c r="BE142" s="327"/>
      <c r="BF142" s="327"/>
      <c r="BG142" s="329" t="s">
        <v>633</v>
      </c>
      <c r="BH142" s="327"/>
    </row>
    <row r="143" spans="1:60" s="330" customFormat="1" ht="20.100000000000001" customHeight="1">
      <c r="A143" s="316">
        <v>126021</v>
      </c>
      <c r="B143" s="317">
        <v>26</v>
      </c>
      <c r="C143" s="317">
        <v>1</v>
      </c>
      <c r="D143" s="318" t="s">
        <v>855</v>
      </c>
      <c r="E143" s="319" t="s">
        <v>999</v>
      </c>
      <c r="F143" s="320"/>
      <c r="G143" s="317" t="s">
        <v>857</v>
      </c>
      <c r="H143" s="321" t="s">
        <v>858</v>
      </c>
      <c r="I143" s="321" t="s">
        <v>858</v>
      </c>
      <c r="J143" s="319" t="s">
        <v>1037</v>
      </c>
      <c r="K143" s="319" t="s">
        <v>1038</v>
      </c>
      <c r="L143" s="319"/>
      <c r="M143" s="319" t="s">
        <v>61</v>
      </c>
      <c r="N143" s="319" t="s">
        <v>62</v>
      </c>
      <c r="O143" s="317" t="s">
        <v>63</v>
      </c>
      <c r="P143" s="317" t="s">
        <v>64</v>
      </c>
      <c r="Q143" s="319" t="s">
        <v>617</v>
      </c>
      <c r="R143" s="322"/>
      <c r="S143" s="319"/>
      <c r="T143" s="317"/>
      <c r="U143" s="317">
        <v>1</v>
      </c>
      <c r="V143" s="317">
        <v>0</v>
      </c>
      <c r="W143" s="317"/>
      <c r="X143" s="317"/>
      <c r="Y143" s="317"/>
      <c r="Z143" s="317"/>
      <c r="AA143" s="317"/>
      <c r="AB143" s="323" t="str">
        <f t="shared" si="17"/>
        <v>80000;;;;;;;3160100:20|4040005:3|4011200:3|4013200:3|4015200:3|4016200:3;;</v>
      </c>
      <c r="AC143" s="324">
        <v>14</v>
      </c>
      <c r="AD143" s="325"/>
      <c r="AE143" s="317"/>
      <c r="AF143" s="317"/>
      <c r="AG143" s="317"/>
      <c r="AH143" s="317"/>
      <c r="AI143" s="318"/>
      <c r="AJ143" s="317"/>
      <c r="AK143" s="317"/>
      <c r="AL143" s="317"/>
      <c r="AM143" s="325"/>
      <c r="AN143" s="325">
        <v>14</v>
      </c>
      <c r="AO143" s="325"/>
      <c r="AP143" s="325"/>
      <c r="AQ143" s="325"/>
      <c r="AR143" s="325"/>
      <c r="AS143" s="325"/>
      <c r="AT143" s="325"/>
      <c r="AU143" s="326"/>
      <c r="AV143" s="326"/>
      <c r="AW143" s="327">
        <v>80000</v>
      </c>
      <c r="AX143" s="327"/>
      <c r="AY143" s="327"/>
      <c r="AZ143" s="327"/>
      <c r="BA143" s="327"/>
      <c r="BB143" s="327"/>
      <c r="BC143" s="327"/>
      <c r="BD143" s="334" t="s">
        <v>1012</v>
      </c>
      <c r="BE143" s="327"/>
      <c r="BF143" s="327"/>
      <c r="BG143" s="329" t="s">
        <v>633</v>
      </c>
      <c r="BH143" s="327"/>
    </row>
    <row r="144" spans="1:60" s="330" customFormat="1" ht="20.100000000000001" customHeight="1">
      <c r="A144" s="316">
        <v>126022</v>
      </c>
      <c r="B144" s="317">
        <v>26</v>
      </c>
      <c r="C144" s="317">
        <v>1</v>
      </c>
      <c r="D144" s="318" t="s">
        <v>855</v>
      </c>
      <c r="E144" s="319" t="s">
        <v>1000</v>
      </c>
      <c r="F144" s="320"/>
      <c r="G144" s="317" t="s">
        <v>857</v>
      </c>
      <c r="H144" s="321" t="s">
        <v>858</v>
      </c>
      <c r="I144" s="321" t="s">
        <v>858</v>
      </c>
      <c r="J144" s="319" t="s">
        <v>1037</v>
      </c>
      <c r="K144" s="319" t="s">
        <v>1038</v>
      </c>
      <c r="L144" s="319"/>
      <c r="M144" s="319" t="s">
        <v>61</v>
      </c>
      <c r="N144" s="319" t="s">
        <v>62</v>
      </c>
      <c r="O144" s="317" t="s">
        <v>63</v>
      </c>
      <c r="P144" s="317" t="s">
        <v>64</v>
      </c>
      <c r="Q144" s="319" t="s">
        <v>617</v>
      </c>
      <c r="R144" s="322"/>
      <c r="S144" s="319"/>
      <c r="T144" s="317"/>
      <c r="U144" s="317">
        <v>1</v>
      </c>
      <c r="V144" s="317">
        <v>0</v>
      </c>
      <c r="W144" s="317"/>
      <c r="X144" s="317"/>
      <c r="Y144" s="317"/>
      <c r="Z144" s="317"/>
      <c r="AA144" s="317"/>
      <c r="AB144" s="323" t="str">
        <f t="shared" si="17"/>
        <v>;100;;;;;;3040000:20|1131505:1|4011300:3|4013300:3|4015300:3|4016300:3;;</v>
      </c>
      <c r="AC144" s="324">
        <v>15</v>
      </c>
      <c r="AD144" s="325"/>
      <c r="AE144" s="317"/>
      <c r="AF144" s="317"/>
      <c r="AG144" s="317"/>
      <c r="AH144" s="317"/>
      <c r="AI144" s="318"/>
      <c r="AJ144" s="317"/>
      <c r="AK144" s="317"/>
      <c r="AL144" s="317"/>
      <c r="AM144" s="325"/>
      <c r="AN144" s="325">
        <v>15</v>
      </c>
      <c r="AO144" s="325"/>
      <c r="AP144" s="325"/>
      <c r="AQ144" s="325"/>
      <c r="AR144" s="325"/>
      <c r="AS144" s="325"/>
      <c r="AT144" s="325"/>
      <c r="AU144" s="326"/>
      <c r="AV144" s="326"/>
      <c r="AW144" s="327"/>
      <c r="AX144" s="327">
        <v>100</v>
      </c>
      <c r="AY144" s="327"/>
      <c r="AZ144" s="327"/>
      <c r="BA144" s="327"/>
      <c r="BB144" s="327"/>
      <c r="BC144" s="327"/>
      <c r="BD144" s="334" t="s">
        <v>1015</v>
      </c>
      <c r="BE144" s="327"/>
      <c r="BF144" s="327"/>
      <c r="BG144" s="329" t="s">
        <v>633</v>
      </c>
      <c r="BH144" s="327"/>
    </row>
    <row r="145" spans="1:60" s="330" customFormat="1" ht="20.100000000000001" customHeight="1">
      <c r="A145" s="316">
        <v>126023</v>
      </c>
      <c r="B145" s="317">
        <v>26</v>
      </c>
      <c r="C145" s="317">
        <v>1</v>
      </c>
      <c r="D145" s="318" t="s">
        <v>855</v>
      </c>
      <c r="E145" s="319" t="s">
        <v>1001</v>
      </c>
      <c r="F145" s="320"/>
      <c r="G145" s="317" t="s">
        <v>857</v>
      </c>
      <c r="H145" s="321" t="s">
        <v>858</v>
      </c>
      <c r="I145" s="321" t="s">
        <v>858</v>
      </c>
      <c r="J145" s="319" t="s">
        <v>1037</v>
      </c>
      <c r="K145" s="319" t="s">
        <v>1038</v>
      </c>
      <c r="L145" s="319"/>
      <c r="M145" s="319" t="s">
        <v>61</v>
      </c>
      <c r="N145" s="319" t="s">
        <v>62</v>
      </c>
      <c r="O145" s="317" t="s">
        <v>63</v>
      </c>
      <c r="P145" s="317" t="s">
        <v>64</v>
      </c>
      <c r="Q145" s="319" t="s">
        <v>617</v>
      </c>
      <c r="R145" s="322"/>
      <c r="S145" s="319"/>
      <c r="T145" s="317"/>
      <c r="U145" s="317">
        <v>1</v>
      </c>
      <c r="V145" s="317">
        <v>0</v>
      </c>
      <c r="W145" s="317"/>
      <c r="X145" s="317"/>
      <c r="Y145" s="317"/>
      <c r="Z145" s="317"/>
      <c r="AA145" s="317"/>
      <c r="AB145" s="323" t="str">
        <f t="shared" si="17"/>
        <v>80000;;;;;;;3090200:40|4040001:3|4011100:3|4013100:3|4015100:3|4016100:3;;</v>
      </c>
      <c r="AC145" s="324">
        <v>16</v>
      </c>
      <c r="AD145" s="325"/>
      <c r="AE145" s="317"/>
      <c r="AF145" s="317"/>
      <c r="AG145" s="317"/>
      <c r="AH145" s="317"/>
      <c r="AI145" s="318"/>
      <c r="AJ145" s="317"/>
      <c r="AK145" s="317"/>
      <c r="AL145" s="317"/>
      <c r="AM145" s="325"/>
      <c r="AN145" s="325">
        <v>16</v>
      </c>
      <c r="AO145" s="325"/>
      <c r="AP145" s="325"/>
      <c r="AQ145" s="325"/>
      <c r="AR145" s="325"/>
      <c r="AS145" s="325"/>
      <c r="AT145" s="325"/>
      <c r="AU145" s="326"/>
      <c r="AV145" s="326"/>
      <c r="AW145" s="327">
        <v>80000</v>
      </c>
      <c r="AX145" s="327"/>
      <c r="AY145" s="327"/>
      <c r="AZ145" s="327"/>
      <c r="BA145" s="327"/>
      <c r="BB145" s="327"/>
      <c r="BC145" s="327"/>
      <c r="BD145" s="334" t="s">
        <v>1007</v>
      </c>
      <c r="BE145" s="327"/>
      <c r="BF145" s="327"/>
      <c r="BG145" s="329" t="s">
        <v>633</v>
      </c>
      <c r="BH145" s="327"/>
    </row>
    <row r="146" spans="1:60" s="330" customFormat="1" ht="20.100000000000001" customHeight="1">
      <c r="A146" s="316">
        <v>126024</v>
      </c>
      <c r="B146" s="317">
        <v>26</v>
      </c>
      <c r="C146" s="317">
        <v>1</v>
      </c>
      <c r="D146" s="318" t="s">
        <v>855</v>
      </c>
      <c r="E146" s="319" t="s">
        <v>1002</v>
      </c>
      <c r="F146" s="320"/>
      <c r="G146" s="317" t="s">
        <v>857</v>
      </c>
      <c r="H146" s="321" t="s">
        <v>858</v>
      </c>
      <c r="I146" s="321" t="s">
        <v>858</v>
      </c>
      <c r="J146" s="319" t="s">
        <v>1037</v>
      </c>
      <c r="K146" s="319" t="s">
        <v>1038</v>
      </c>
      <c r="L146" s="319"/>
      <c r="M146" s="319" t="s">
        <v>61</v>
      </c>
      <c r="N146" s="319" t="s">
        <v>62</v>
      </c>
      <c r="O146" s="317" t="s">
        <v>63</v>
      </c>
      <c r="P146" s="317" t="s">
        <v>64</v>
      </c>
      <c r="Q146" s="319" t="s">
        <v>617</v>
      </c>
      <c r="R146" s="322"/>
      <c r="S146" s="319"/>
      <c r="T146" s="317"/>
      <c r="U146" s="317">
        <v>1</v>
      </c>
      <c r="V146" s="317">
        <v>0</v>
      </c>
      <c r="W146" s="317"/>
      <c r="X146" s="317"/>
      <c r="Y146" s="317"/>
      <c r="Z146" s="317"/>
      <c r="AA146" s="317"/>
      <c r="AB146" s="323" t="str">
        <f t="shared" si="17"/>
        <v>;100;;;;;;3160100:20|4040004:3|4011200:3|4013200:3|4015200:3|4016200:3;;</v>
      </c>
      <c r="AC146" s="324">
        <v>17</v>
      </c>
      <c r="AD146" s="325"/>
      <c r="AE146" s="317"/>
      <c r="AF146" s="317"/>
      <c r="AG146" s="317"/>
      <c r="AH146" s="317"/>
      <c r="AI146" s="318"/>
      <c r="AJ146" s="317"/>
      <c r="AK146" s="317"/>
      <c r="AL146" s="317"/>
      <c r="AM146" s="325"/>
      <c r="AN146" s="325">
        <v>17</v>
      </c>
      <c r="AO146" s="325"/>
      <c r="AP146" s="325"/>
      <c r="AQ146" s="325"/>
      <c r="AR146" s="325"/>
      <c r="AS146" s="325"/>
      <c r="AT146" s="325"/>
      <c r="AU146" s="326"/>
      <c r="AV146" s="326"/>
      <c r="AW146" s="327"/>
      <c r="AX146" s="327">
        <v>100</v>
      </c>
      <c r="AY146" s="327"/>
      <c r="AZ146" s="327"/>
      <c r="BA146" s="327"/>
      <c r="BB146" s="327"/>
      <c r="BC146" s="327"/>
      <c r="BD146" s="334" t="s">
        <v>1016</v>
      </c>
      <c r="BE146" s="327"/>
      <c r="BF146" s="327"/>
      <c r="BG146" s="329" t="s">
        <v>633</v>
      </c>
      <c r="BH146" s="327"/>
    </row>
    <row r="147" spans="1:60" s="330" customFormat="1" ht="20.100000000000001" customHeight="1">
      <c r="A147" s="316">
        <v>126025</v>
      </c>
      <c r="B147" s="317">
        <v>26</v>
      </c>
      <c r="C147" s="317">
        <v>1</v>
      </c>
      <c r="D147" s="318" t="s">
        <v>855</v>
      </c>
      <c r="E147" s="319" t="s">
        <v>1003</v>
      </c>
      <c r="F147" s="320"/>
      <c r="G147" s="317" t="s">
        <v>857</v>
      </c>
      <c r="H147" s="321" t="s">
        <v>858</v>
      </c>
      <c r="I147" s="321" t="s">
        <v>858</v>
      </c>
      <c r="J147" s="319" t="s">
        <v>1037</v>
      </c>
      <c r="K147" s="319" t="s">
        <v>1038</v>
      </c>
      <c r="L147" s="319"/>
      <c r="M147" s="319" t="s">
        <v>61</v>
      </c>
      <c r="N147" s="319" t="s">
        <v>62</v>
      </c>
      <c r="O147" s="317" t="s">
        <v>63</v>
      </c>
      <c r="P147" s="317" t="s">
        <v>64</v>
      </c>
      <c r="Q147" s="319" t="s">
        <v>617</v>
      </c>
      <c r="R147" s="322"/>
      <c r="S147" s="319"/>
      <c r="T147" s="317"/>
      <c r="U147" s="317">
        <v>1</v>
      </c>
      <c r="V147" s="317">
        <v>0</v>
      </c>
      <c r="W147" s="317"/>
      <c r="X147" s="317"/>
      <c r="Y147" s="317"/>
      <c r="Z147" s="317"/>
      <c r="AA147" s="317"/>
      <c r="AB147" s="323" t="str">
        <f t="shared" si="17"/>
        <v>80000;;;;;;;3040000:20|4040005:3|4011300:3|4013300:3|4015300:3|4016300:3;;</v>
      </c>
      <c r="AC147" s="324">
        <v>18</v>
      </c>
      <c r="AD147" s="325"/>
      <c r="AE147" s="317"/>
      <c r="AF147" s="317"/>
      <c r="AG147" s="317"/>
      <c r="AH147" s="317"/>
      <c r="AI147" s="318"/>
      <c r="AJ147" s="317"/>
      <c r="AK147" s="317"/>
      <c r="AL147" s="317"/>
      <c r="AM147" s="325"/>
      <c r="AN147" s="325">
        <v>18</v>
      </c>
      <c r="AO147" s="325"/>
      <c r="AP147" s="325"/>
      <c r="AQ147" s="325"/>
      <c r="AR147" s="325"/>
      <c r="AS147" s="325"/>
      <c r="AT147" s="325"/>
      <c r="AU147" s="326"/>
      <c r="AV147" s="326"/>
      <c r="AW147" s="327">
        <v>80000</v>
      </c>
      <c r="AX147" s="327"/>
      <c r="AY147" s="327"/>
      <c r="AZ147" s="327"/>
      <c r="BA147" s="327"/>
      <c r="BB147" s="327"/>
      <c r="BC147" s="327"/>
      <c r="BD147" s="334" t="s">
        <v>1017</v>
      </c>
      <c r="BE147" s="327"/>
      <c r="BF147" s="327"/>
      <c r="BG147" s="329" t="s">
        <v>633</v>
      </c>
      <c r="BH147" s="327"/>
    </row>
    <row r="148" spans="1:60" s="330" customFormat="1" ht="20.100000000000001" customHeight="1">
      <c r="A148" s="316">
        <v>126026</v>
      </c>
      <c r="B148" s="317">
        <v>26</v>
      </c>
      <c r="C148" s="317">
        <v>1</v>
      </c>
      <c r="D148" s="318" t="s">
        <v>855</v>
      </c>
      <c r="E148" s="319" t="s">
        <v>1004</v>
      </c>
      <c r="F148" s="320"/>
      <c r="G148" s="317" t="s">
        <v>857</v>
      </c>
      <c r="H148" s="321" t="s">
        <v>858</v>
      </c>
      <c r="I148" s="321" t="s">
        <v>858</v>
      </c>
      <c r="J148" s="319" t="s">
        <v>1037</v>
      </c>
      <c r="K148" s="319" t="s">
        <v>1038</v>
      </c>
      <c r="L148" s="319"/>
      <c r="M148" s="319" t="s">
        <v>61</v>
      </c>
      <c r="N148" s="319" t="s">
        <v>62</v>
      </c>
      <c r="O148" s="317" t="s">
        <v>63</v>
      </c>
      <c r="P148" s="317" t="s">
        <v>64</v>
      </c>
      <c r="Q148" s="319" t="s">
        <v>617</v>
      </c>
      <c r="R148" s="322"/>
      <c r="S148" s="319"/>
      <c r="T148" s="317"/>
      <c r="U148" s="317">
        <v>1</v>
      </c>
      <c r="V148" s="317">
        <v>0</v>
      </c>
      <c r="W148" s="317"/>
      <c r="X148" s="317"/>
      <c r="Y148" s="317"/>
      <c r="Z148" s="317"/>
      <c r="AA148" s="317"/>
      <c r="AB148" s="323" t="str">
        <f t="shared" si="17"/>
        <v>;100;;;;;;3090200:40|4040001:3|4011100:3|4013100:3|4015100:3|4016100:3;;</v>
      </c>
      <c r="AC148" s="324">
        <v>19</v>
      </c>
      <c r="AD148" s="325"/>
      <c r="AE148" s="317"/>
      <c r="AF148" s="317"/>
      <c r="AG148" s="317"/>
      <c r="AH148" s="317"/>
      <c r="AI148" s="318"/>
      <c r="AJ148" s="317"/>
      <c r="AK148" s="317"/>
      <c r="AL148" s="317"/>
      <c r="AM148" s="325"/>
      <c r="AN148" s="325">
        <v>19</v>
      </c>
      <c r="AO148" s="325"/>
      <c r="AP148" s="325"/>
      <c r="AQ148" s="325"/>
      <c r="AR148" s="325"/>
      <c r="AS148" s="325"/>
      <c r="AT148" s="325"/>
      <c r="AU148" s="326"/>
      <c r="AV148" s="326"/>
      <c r="AW148" s="327"/>
      <c r="AX148" s="327">
        <v>100</v>
      </c>
      <c r="AY148" s="327"/>
      <c r="AZ148" s="327"/>
      <c r="BA148" s="327"/>
      <c r="BB148" s="327"/>
      <c r="BC148" s="327"/>
      <c r="BD148" s="334" t="s">
        <v>1007</v>
      </c>
      <c r="BE148" s="327"/>
      <c r="BF148" s="327"/>
      <c r="BG148" s="329" t="s">
        <v>633</v>
      </c>
      <c r="BH148" s="327"/>
    </row>
    <row r="149" spans="1:60" s="330" customFormat="1" ht="20.100000000000001" customHeight="1">
      <c r="A149" s="316">
        <v>126027</v>
      </c>
      <c r="B149" s="317">
        <v>26</v>
      </c>
      <c r="C149" s="317">
        <v>1</v>
      </c>
      <c r="D149" s="318" t="s">
        <v>855</v>
      </c>
      <c r="E149" s="319" t="s">
        <v>1005</v>
      </c>
      <c r="F149" s="320"/>
      <c r="G149" s="317" t="s">
        <v>857</v>
      </c>
      <c r="H149" s="321" t="s">
        <v>858</v>
      </c>
      <c r="I149" s="321" t="s">
        <v>858</v>
      </c>
      <c r="J149" s="319" t="s">
        <v>1037</v>
      </c>
      <c r="K149" s="319" t="s">
        <v>1038</v>
      </c>
      <c r="L149" s="319"/>
      <c r="M149" s="319" t="s">
        <v>61</v>
      </c>
      <c r="N149" s="319" t="s">
        <v>62</v>
      </c>
      <c r="O149" s="317" t="s">
        <v>63</v>
      </c>
      <c r="P149" s="317" t="s">
        <v>64</v>
      </c>
      <c r="Q149" s="319" t="s">
        <v>617</v>
      </c>
      <c r="R149" s="322"/>
      <c r="S149" s="319"/>
      <c r="T149" s="317"/>
      <c r="U149" s="317">
        <v>1</v>
      </c>
      <c r="V149" s="317">
        <v>0</v>
      </c>
      <c r="W149" s="317"/>
      <c r="X149" s="317"/>
      <c r="Y149" s="317"/>
      <c r="Z149" s="317"/>
      <c r="AA149" s="317"/>
      <c r="AB149" s="323" t="str">
        <f t="shared" si="17"/>
        <v>100000;;;;;;;3160100:20|4040004:3|4011200:3|4013200:3|4015200:3|4016200:3;;</v>
      </c>
      <c r="AC149" s="324">
        <v>20</v>
      </c>
      <c r="AD149" s="325"/>
      <c r="AE149" s="317"/>
      <c r="AF149" s="317"/>
      <c r="AG149" s="317"/>
      <c r="AH149" s="317"/>
      <c r="AI149" s="318"/>
      <c r="AJ149" s="317"/>
      <c r="AK149" s="317"/>
      <c r="AL149" s="317"/>
      <c r="AM149" s="325"/>
      <c r="AN149" s="325">
        <v>20</v>
      </c>
      <c r="AO149" s="325"/>
      <c r="AP149" s="325"/>
      <c r="AQ149" s="325"/>
      <c r="AR149" s="325"/>
      <c r="AS149" s="325"/>
      <c r="AT149" s="325"/>
      <c r="AU149" s="326"/>
      <c r="AV149" s="326"/>
      <c r="AW149" s="327">
        <v>100000</v>
      </c>
      <c r="AX149" s="327"/>
      <c r="AY149" s="327"/>
      <c r="AZ149" s="327"/>
      <c r="BA149" s="327"/>
      <c r="BB149" s="327"/>
      <c r="BC149" s="327"/>
      <c r="BD149" s="334" t="s">
        <v>1016</v>
      </c>
      <c r="BE149" s="327"/>
      <c r="BF149" s="327"/>
      <c r="BG149" s="329" t="s">
        <v>633</v>
      </c>
      <c r="BH149" s="327"/>
    </row>
    <row r="150" spans="1:60" s="330" customFormat="1" ht="20.100000000000001" customHeight="1">
      <c r="A150" s="316">
        <v>126028</v>
      </c>
      <c r="B150" s="317">
        <v>26</v>
      </c>
      <c r="C150" s="317">
        <v>1</v>
      </c>
      <c r="D150" s="318" t="s">
        <v>855</v>
      </c>
      <c r="E150" s="319" t="s">
        <v>1006</v>
      </c>
      <c r="F150" s="320"/>
      <c r="G150" s="317" t="s">
        <v>857</v>
      </c>
      <c r="H150" s="321" t="s">
        <v>858</v>
      </c>
      <c r="I150" s="321" t="s">
        <v>858</v>
      </c>
      <c r="J150" s="319" t="s">
        <v>1037</v>
      </c>
      <c r="K150" s="319" t="s">
        <v>1038</v>
      </c>
      <c r="L150" s="319"/>
      <c r="M150" s="319" t="s">
        <v>61</v>
      </c>
      <c r="N150" s="319" t="s">
        <v>62</v>
      </c>
      <c r="O150" s="317" t="s">
        <v>63</v>
      </c>
      <c r="P150" s="317" t="s">
        <v>64</v>
      </c>
      <c r="Q150" s="319" t="s">
        <v>617</v>
      </c>
      <c r="R150" s="322"/>
      <c r="S150" s="319"/>
      <c r="T150" s="317"/>
      <c r="U150" s="317">
        <v>1</v>
      </c>
      <c r="V150" s="317">
        <v>0</v>
      </c>
      <c r="W150" s="317"/>
      <c r="X150" s="317"/>
      <c r="Y150" s="317"/>
      <c r="Z150" s="317"/>
      <c r="AA150" s="317"/>
      <c r="AB150" s="323" t="str">
        <f t="shared" si="17"/>
        <v>;100;;;;;;3040000:20|4040005:3|4011300:3|4013300:3|4015300:3|4016300:3;;</v>
      </c>
      <c r="AC150" s="324">
        <v>21</v>
      </c>
      <c r="AD150" s="325"/>
      <c r="AE150" s="317"/>
      <c r="AF150" s="317"/>
      <c r="AG150" s="317"/>
      <c r="AH150" s="317"/>
      <c r="AI150" s="318"/>
      <c r="AJ150" s="317"/>
      <c r="AK150" s="317"/>
      <c r="AL150" s="317"/>
      <c r="AM150" s="325"/>
      <c r="AN150" s="325">
        <v>21</v>
      </c>
      <c r="AO150" s="325"/>
      <c r="AP150" s="325"/>
      <c r="AQ150" s="325"/>
      <c r="AR150" s="325"/>
      <c r="AS150" s="325"/>
      <c r="AT150" s="325"/>
      <c r="AU150" s="326"/>
      <c r="AV150" s="326"/>
      <c r="AW150" s="327"/>
      <c r="AX150" s="327">
        <v>100</v>
      </c>
      <c r="AY150" s="327"/>
      <c r="AZ150" s="327"/>
      <c r="BA150" s="327"/>
      <c r="BB150" s="327"/>
      <c r="BC150" s="327"/>
      <c r="BD150" s="334" t="s">
        <v>1017</v>
      </c>
      <c r="BE150" s="327"/>
      <c r="BF150" s="327"/>
      <c r="BG150" s="329" t="s">
        <v>633</v>
      </c>
      <c r="BH150" s="327"/>
    </row>
    <row r="151" spans="1:60" s="293" customFormat="1" ht="20.100000000000001" customHeight="1">
      <c r="A151" s="282" t="s">
        <v>865</v>
      </c>
      <c r="B151" s="283">
        <v>26</v>
      </c>
      <c r="C151" s="283">
        <v>2</v>
      </c>
      <c r="D151" s="284" t="s">
        <v>866</v>
      </c>
      <c r="E151" s="285" t="s">
        <v>867</v>
      </c>
      <c r="F151" s="286"/>
      <c r="G151" s="283"/>
      <c r="H151" s="285" t="s">
        <v>868</v>
      </c>
      <c r="I151" s="285" t="s">
        <v>869</v>
      </c>
      <c r="J151" s="285" t="s">
        <v>1195</v>
      </c>
      <c r="K151" s="285" t="s">
        <v>1195</v>
      </c>
      <c r="L151" s="285"/>
      <c r="M151" s="285" t="s">
        <v>61</v>
      </c>
      <c r="N151" s="285" t="s">
        <v>62</v>
      </c>
      <c r="O151" s="283" t="s">
        <v>63</v>
      </c>
      <c r="P151" s="283" t="s">
        <v>64</v>
      </c>
      <c r="Q151" s="285" t="s">
        <v>210</v>
      </c>
      <c r="R151" s="287"/>
      <c r="S151" s="285"/>
      <c r="T151" s="283"/>
      <c r="U151" s="283">
        <v>1</v>
      </c>
      <c r="V151" s="283">
        <v>0</v>
      </c>
      <c r="W151" s="283"/>
      <c r="X151" s="283"/>
      <c r="Y151" s="283"/>
      <c r="Z151" s="283"/>
      <c r="AA151" s="283"/>
      <c r="AB151" s="288" t="s">
        <v>870</v>
      </c>
      <c r="AC151" s="288">
        <v>1</v>
      </c>
      <c r="AD151" s="289"/>
      <c r="AE151" s="283"/>
      <c r="AF151" s="283"/>
      <c r="AG151" s="283"/>
      <c r="AH151" s="283"/>
      <c r="AI151" s="284"/>
      <c r="AJ151" s="283"/>
      <c r="AK151" s="283"/>
      <c r="AL151" s="283"/>
      <c r="AM151" s="289"/>
      <c r="AN151" s="289">
        <v>1</v>
      </c>
      <c r="AO151" s="289"/>
      <c r="AP151" s="289"/>
      <c r="AQ151" s="289"/>
      <c r="AR151" s="289"/>
      <c r="AS151" s="289"/>
      <c r="AT151" s="289"/>
      <c r="AU151" s="290"/>
      <c r="AV151" s="290"/>
      <c r="AW151" s="291"/>
      <c r="AX151" s="291"/>
      <c r="AY151" s="291"/>
      <c r="AZ151" s="291"/>
      <c r="BA151" s="291"/>
      <c r="BB151" s="291"/>
      <c r="BC151" s="291"/>
      <c r="BD151" s="292" t="s">
        <v>871</v>
      </c>
      <c r="BE151" s="291"/>
      <c r="BF151" s="291"/>
      <c r="BG151" s="283" t="s">
        <v>633</v>
      </c>
      <c r="BH151" s="291"/>
    </row>
    <row r="152" spans="1:60" s="293" customFormat="1" ht="20.100000000000001" customHeight="1">
      <c r="A152" s="282" t="s">
        <v>872</v>
      </c>
      <c r="B152" s="283">
        <v>26</v>
      </c>
      <c r="C152" s="283">
        <v>2</v>
      </c>
      <c r="D152" s="284" t="s">
        <v>866</v>
      </c>
      <c r="E152" s="285" t="s">
        <v>859</v>
      </c>
      <c r="F152" s="286"/>
      <c r="G152" s="283"/>
      <c r="H152" s="285" t="s">
        <v>868</v>
      </c>
      <c r="I152" s="285" t="s">
        <v>869</v>
      </c>
      <c r="J152" s="285" t="s">
        <v>1195</v>
      </c>
      <c r="K152" s="285" t="s">
        <v>1195</v>
      </c>
      <c r="L152" s="285"/>
      <c r="M152" s="285" t="s">
        <v>61</v>
      </c>
      <c r="N152" s="285" t="s">
        <v>62</v>
      </c>
      <c r="O152" s="283" t="s">
        <v>63</v>
      </c>
      <c r="P152" s="283" t="s">
        <v>64</v>
      </c>
      <c r="Q152" s="285" t="s">
        <v>210</v>
      </c>
      <c r="R152" s="287"/>
      <c r="S152" s="285"/>
      <c r="T152" s="283"/>
      <c r="U152" s="283">
        <v>1</v>
      </c>
      <c r="V152" s="283">
        <v>0</v>
      </c>
      <c r="W152" s="283"/>
      <c r="X152" s="283"/>
      <c r="Y152" s="283"/>
      <c r="Z152" s="283"/>
      <c r="AA152" s="283"/>
      <c r="AB152" s="288" t="s">
        <v>873</v>
      </c>
      <c r="AC152" s="288">
        <v>2</v>
      </c>
      <c r="AD152" s="289"/>
      <c r="AE152" s="283"/>
      <c r="AF152" s="283"/>
      <c r="AG152" s="283"/>
      <c r="AH152" s="283"/>
      <c r="AI152" s="284"/>
      <c r="AJ152" s="283"/>
      <c r="AK152" s="283"/>
      <c r="AL152" s="283"/>
      <c r="AM152" s="289"/>
      <c r="AN152" s="289">
        <v>2</v>
      </c>
      <c r="AO152" s="289"/>
      <c r="AP152" s="289"/>
      <c r="AQ152" s="289"/>
      <c r="AR152" s="289"/>
      <c r="AS152" s="289"/>
      <c r="AT152" s="289"/>
      <c r="AU152" s="290"/>
      <c r="AV152" s="290"/>
      <c r="AW152" s="291"/>
      <c r="AX152" s="291">
        <v>50</v>
      </c>
      <c r="AY152" s="291"/>
      <c r="AZ152" s="291"/>
      <c r="BA152" s="291"/>
      <c r="BB152" s="291"/>
      <c r="BC152" s="291"/>
      <c r="BD152" s="292"/>
      <c r="BE152" s="291"/>
      <c r="BF152" s="291"/>
      <c r="BG152" s="283" t="s">
        <v>633</v>
      </c>
      <c r="BH152" s="291"/>
    </row>
    <row r="153" spans="1:60" s="293" customFormat="1" ht="20.100000000000001" customHeight="1">
      <c r="A153" s="282" t="s">
        <v>874</v>
      </c>
      <c r="B153" s="283">
        <v>26</v>
      </c>
      <c r="C153" s="283">
        <v>2</v>
      </c>
      <c r="D153" s="284" t="s">
        <v>866</v>
      </c>
      <c r="E153" s="285" t="s">
        <v>1216</v>
      </c>
      <c r="F153" s="286"/>
      <c r="G153" s="283"/>
      <c r="H153" s="285" t="s">
        <v>868</v>
      </c>
      <c r="I153" s="285" t="s">
        <v>869</v>
      </c>
      <c r="J153" s="285" t="s">
        <v>1195</v>
      </c>
      <c r="K153" s="285" t="s">
        <v>1195</v>
      </c>
      <c r="L153" s="285"/>
      <c r="M153" s="285" t="s">
        <v>61</v>
      </c>
      <c r="N153" s="285" t="s">
        <v>62</v>
      </c>
      <c r="O153" s="283" t="s">
        <v>63</v>
      </c>
      <c r="P153" s="283" t="s">
        <v>64</v>
      </c>
      <c r="Q153" s="285" t="s">
        <v>210</v>
      </c>
      <c r="R153" s="287"/>
      <c r="S153" s="285"/>
      <c r="T153" s="283"/>
      <c r="U153" s="283">
        <v>1</v>
      </c>
      <c r="V153" s="283">
        <v>0</v>
      </c>
      <c r="W153" s="283"/>
      <c r="X153" s="283"/>
      <c r="Y153" s="283"/>
      <c r="Z153" s="283"/>
      <c r="AA153" s="283"/>
      <c r="AB153" s="288" t="s">
        <v>875</v>
      </c>
      <c r="AC153" s="288">
        <v>3</v>
      </c>
      <c r="AD153" s="289"/>
      <c r="AE153" s="283"/>
      <c r="AF153" s="283"/>
      <c r="AG153" s="283"/>
      <c r="AH153" s="283"/>
      <c r="AI153" s="284"/>
      <c r="AJ153" s="283"/>
      <c r="AK153" s="283"/>
      <c r="AL153" s="283"/>
      <c r="AM153" s="289"/>
      <c r="AN153" s="289">
        <v>3</v>
      </c>
      <c r="AO153" s="289"/>
      <c r="AP153" s="289"/>
      <c r="AQ153" s="289"/>
      <c r="AR153" s="289"/>
      <c r="AS153" s="289"/>
      <c r="AT153" s="289"/>
      <c r="AU153" s="290"/>
      <c r="AV153" s="290"/>
      <c r="AW153" s="291"/>
      <c r="AX153" s="291"/>
      <c r="AY153" s="291"/>
      <c r="AZ153" s="291"/>
      <c r="BA153" s="291"/>
      <c r="BB153" s="291"/>
      <c r="BC153" s="291"/>
      <c r="BD153" s="292" t="s">
        <v>876</v>
      </c>
      <c r="BE153" s="291"/>
      <c r="BF153" s="291"/>
      <c r="BG153" s="283" t="s">
        <v>633</v>
      </c>
      <c r="BH153" s="291"/>
    </row>
    <row r="154" spans="1:60" s="293" customFormat="1" ht="20.100000000000001" customHeight="1">
      <c r="A154" s="282" t="s">
        <v>877</v>
      </c>
      <c r="B154" s="283">
        <v>26</v>
      </c>
      <c r="C154" s="283">
        <v>2</v>
      </c>
      <c r="D154" s="284" t="s">
        <v>866</v>
      </c>
      <c r="E154" s="285" t="s">
        <v>861</v>
      </c>
      <c r="F154" s="286"/>
      <c r="G154" s="283"/>
      <c r="H154" s="285" t="s">
        <v>868</v>
      </c>
      <c r="I154" s="285" t="s">
        <v>869</v>
      </c>
      <c r="J154" s="285" t="s">
        <v>1195</v>
      </c>
      <c r="K154" s="285" t="s">
        <v>1195</v>
      </c>
      <c r="L154" s="285"/>
      <c r="M154" s="285" t="s">
        <v>61</v>
      </c>
      <c r="N154" s="285" t="s">
        <v>62</v>
      </c>
      <c r="O154" s="283" t="s">
        <v>63</v>
      </c>
      <c r="P154" s="283" t="s">
        <v>64</v>
      </c>
      <c r="Q154" s="285" t="s">
        <v>210</v>
      </c>
      <c r="R154" s="287"/>
      <c r="S154" s="285"/>
      <c r="T154" s="283"/>
      <c r="U154" s="283">
        <v>1</v>
      </c>
      <c r="V154" s="283">
        <v>0</v>
      </c>
      <c r="W154" s="283"/>
      <c r="X154" s="283"/>
      <c r="Y154" s="283"/>
      <c r="Z154" s="283"/>
      <c r="AA154" s="283"/>
      <c r="AB154" s="288" t="s">
        <v>878</v>
      </c>
      <c r="AC154" s="288">
        <v>4</v>
      </c>
      <c r="AD154" s="289"/>
      <c r="AE154" s="283"/>
      <c r="AF154" s="283"/>
      <c r="AG154" s="283"/>
      <c r="AH154" s="283"/>
      <c r="AI154" s="284"/>
      <c r="AJ154" s="283"/>
      <c r="AK154" s="283"/>
      <c r="AL154" s="283"/>
      <c r="AM154" s="289"/>
      <c r="AN154" s="289">
        <v>4</v>
      </c>
      <c r="AO154" s="289"/>
      <c r="AP154" s="289"/>
      <c r="AQ154" s="289"/>
      <c r="AR154" s="289"/>
      <c r="AS154" s="289"/>
      <c r="AT154" s="289"/>
      <c r="AU154" s="290"/>
      <c r="AV154" s="290"/>
      <c r="AW154" s="291"/>
      <c r="AX154" s="291"/>
      <c r="AY154" s="291"/>
      <c r="AZ154" s="291"/>
      <c r="BA154" s="291"/>
      <c r="BB154" s="291"/>
      <c r="BC154" s="291"/>
      <c r="BD154" s="292" t="s">
        <v>879</v>
      </c>
      <c r="BE154" s="291"/>
      <c r="BF154" s="291"/>
      <c r="BG154" s="283" t="s">
        <v>633</v>
      </c>
      <c r="BH154" s="291"/>
    </row>
    <row r="155" spans="1:60" s="293" customFormat="1" ht="20.100000000000001" customHeight="1">
      <c r="A155" s="282" t="s">
        <v>880</v>
      </c>
      <c r="B155" s="283">
        <v>26</v>
      </c>
      <c r="C155" s="283">
        <v>2</v>
      </c>
      <c r="D155" s="284" t="s">
        <v>866</v>
      </c>
      <c r="E155" s="285" t="s">
        <v>862</v>
      </c>
      <c r="F155" s="286"/>
      <c r="G155" s="283"/>
      <c r="H155" s="285" t="s">
        <v>868</v>
      </c>
      <c r="I155" s="285" t="s">
        <v>869</v>
      </c>
      <c r="J155" s="285" t="s">
        <v>1195</v>
      </c>
      <c r="K155" s="285" t="s">
        <v>1195</v>
      </c>
      <c r="L155" s="285"/>
      <c r="M155" s="285" t="s">
        <v>61</v>
      </c>
      <c r="N155" s="285" t="s">
        <v>62</v>
      </c>
      <c r="O155" s="283" t="s">
        <v>63</v>
      </c>
      <c r="P155" s="283" t="s">
        <v>64</v>
      </c>
      <c r="Q155" s="285" t="s">
        <v>210</v>
      </c>
      <c r="R155" s="287"/>
      <c r="S155" s="285"/>
      <c r="T155" s="283"/>
      <c r="U155" s="283">
        <v>1</v>
      </c>
      <c r="V155" s="283">
        <v>0</v>
      </c>
      <c r="W155" s="283"/>
      <c r="X155" s="283"/>
      <c r="Y155" s="283"/>
      <c r="Z155" s="283"/>
      <c r="AA155" s="283"/>
      <c r="AB155" s="288" t="s">
        <v>881</v>
      </c>
      <c r="AC155" s="288">
        <v>5</v>
      </c>
      <c r="AD155" s="289"/>
      <c r="AE155" s="283"/>
      <c r="AF155" s="283"/>
      <c r="AG155" s="283"/>
      <c r="AH155" s="283"/>
      <c r="AI155" s="284"/>
      <c r="AJ155" s="283"/>
      <c r="AK155" s="283"/>
      <c r="AL155" s="283"/>
      <c r="AM155" s="289"/>
      <c r="AN155" s="289">
        <v>5</v>
      </c>
      <c r="AO155" s="289"/>
      <c r="AP155" s="289"/>
      <c r="AQ155" s="289"/>
      <c r="AR155" s="289"/>
      <c r="AS155" s="289"/>
      <c r="AT155" s="289"/>
      <c r="AU155" s="290"/>
      <c r="AV155" s="290"/>
      <c r="AW155" s="291"/>
      <c r="AX155" s="291"/>
      <c r="AY155" s="291"/>
      <c r="AZ155" s="291"/>
      <c r="BA155" s="291"/>
      <c r="BB155" s="291"/>
      <c r="BC155" s="291"/>
      <c r="BD155" s="292" t="s">
        <v>882</v>
      </c>
      <c r="BE155" s="291"/>
      <c r="BF155" s="291"/>
      <c r="BG155" s="283" t="s">
        <v>633</v>
      </c>
      <c r="BH155" s="291"/>
    </row>
    <row r="156" spans="1:60" s="293" customFormat="1" ht="20.100000000000001" customHeight="1">
      <c r="A156" s="282" t="s">
        <v>883</v>
      </c>
      <c r="B156" s="283">
        <v>26</v>
      </c>
      <c r="C156" s="283">
        <v>2</v>
      </c>
      <c r="D156" s="284" t="s">
        <v>866</v>
      </c>
      <c r="E156" s="285" t="s">
        <v>863</v>
      </c>
      <c r="F156" s="286"/>
      <c r="G156" s="283"/>
      <c r="H156" s="285" t="s">
        <v>868</v>
      </c>
      <c r="I156" s="285" t="s">
        <v>869</v>
      </c>
      <c r="J156" s="285" t="s">
        <v>1195</v>
      </c>
      <c r="K156" s="285" t="s">
        <v>1195</v>
      </c>
      <c r="L156" s="285"/>
      <c r="M156" s="285" t="s">
        <v>61</v>
      </c>
      <c r="N156" s="285" t="s">
        <v>62</v>
      </c>
      <c r="O156" s="283" t="s">
        <v>63</v>
      </c>
      <c r="P156" s="283" t="s">
        <v>64</v>
      </c>
      <c r="Q156" s="285" t="s">
        <v>210</v>
      </c>
      <c r="R156" s="287"/>
      <c r="S156" s="285"/>
      <c r="T156" s="283"/>
      <c r="U156" s="283">
        <v>1</v>
      </c>
      <c r="V156" s="283">
        <v>0</v>
      </c>
      <c r="W156" s="283"/>
      <c r="X156" s="283"/>
      <c r="Y156" s="283"/>
      <c r="Z156" s="283"/>
      <c r="AA156" s="283"/>
      <c r="AB156" s="288" t="s">
        <v>884</v>
      </c>
      <c r="AC156" s="288">
        <v>6</v>
      </c>
      <c r="AD156" s="289"/>
      <c r="AE156" s="283"/>
      <c r="AF156" s="283"/>
      <c r="AG156" s="283"/>
      <c r="AH156" s="283"/>
      <c r="AI156" s="284"/>
      <c r="AJ156" s="283"/>
      <c r="AK156" s="283"/>
      <c r="AL156" s="283"/>
      <c r="AM156" s="289"/>
      <c r="AN156" s="289">
        <v>6</v>
      </c>
      <c r="AO156" s="289"/>
      <c r="AP156" s="289"/>
      <c r="AQ156" s="289"/>
      <c r="AR156" s="289"/>
      <c r="AS156" s="289"/>
      <c r="AT156" s="289"/>
      <c r="AU156" s="290"/>
      <c r="AV156" s="290"/>
      <c r="AW156" s="291"/>
      <c r="AX156" s="291"/>
      <c r="AY156" s="291"/>
      <c r="AZ156" s="291"/>
      <c r="BA156" s="291"/>
      <c r="BB156" s="291"/>
      <c r="BC156" s="291"/>
      <c r="BD156" s="292" t="s">
        <v>885</v>
      </c>
      <c r="BE156" s="291"/>
      <c r="BF156" s="291"/>
      <c r="BG156" s="283" t="s">
        <v>633</v>
      </c>
      <c r="BH156" s="291"/>
    </row>
    <row r="157" spans="1:60" s="293" customFormat="1" ht="20.100000000000001" customHeight="1">
      <c r="A157" s="282" t="s">
        <v>886</v>
      </c>
      <c r="B157" s="283">
        <v>26</v>
      </c>
      <c r="C157" s="283">
        <v>2</v>
      </c>
      <c r="D157" s="284" t="s">
        <v>866</v>
      </c>
      <c r="E157" s="285" t="s">
        <v>864</v>
      </c>
      <c r="F157" s="286"/>
      <c r="G157" s="283"/>
      <c r="H157" s="285" t="s">
        <v>868</v>
      </c>
      <c r="I157" s="285" t="s">
        <v>869</v>
      </c>
      <c r="J157" s="285" t="s">
        <v>1195</v>
      </c>
      <c r="K157" s="285" t="s">
        <v>1195</v>
      </c>
      <c r="L157" s="285"/>
      <c r="M157" s="285" t="s">
        <v>61</v>
      </c>
      <c r="N157" s="285" t="s">
        <v>62</v>
      </c>
      <c r="O157" s="283" t="s">
        <v>63</v>
      </c>
      <c r="P157" s="283" t="s">
        <v>64</v>
      </c>
      <c r="Q157" s="285" t="s">
        <v>210</v>
      </c>
      <c r="R157" s="287"/>
      <c r="S157" s="285"/>
      <c r="T157" s="283"/>
      <c r="U157" s="283">
        <v>1</v>
      </c>
      <c r="V157" s="283">
        <v>0</v>
      </c>
      <c r="W157" s="283"/>
      <c r="X157" s="283"/>
      <c r="Y157" s="283"/>
      <c r="Z157" s="283"/>
      <c r="AA157" s="283"/>
      <c r="AB157" s="288" t="s">
        <v>887</v>
      </c>
      <c r="AC157" s="288">
        <v>7</v>
      </c>
      <c r="AD157" s="289"/>
      <c r="AE157" s="283"/>
      <c r="AF157" s="283"/>
      <c r="AG157" s="283"/>
      <c r="AH157" s="283"/>
      <c r="AI157" s="284"/>
      <c r="AJ157" s="283"/>
      <c r="AK157" s="283"/>
      <c r="AL157" s="283"/>
      <c r="AM157" s="289"/>
      <c r="AN157" s="289">
        <v>7</v>
      </c>
      <c r="AO157" s="289"/>
      <c r="AP157" s="289"/>
      <c r="AQ157" s="289"/>
      <c r="AR157" s="289"/>
      <c r="AS157" s="289"/>
      <c r="AT157" s="289"/>
      <c r="AU157" s="290"/>
      <c r="AV157" s="290"/>
      <c r="AW157" s="291"/>
      <c r="AX157" s="291"/>
      <c r="AY157" s="291"/>
      <c r="AZ157" s="291"/>
      <c r="BA157" s="291"/>
      <c r="BB157" s="291"/>
      <c r="BC157" s="291"/>
      <c r="BD157" s="292" t="s">
        <v>888</v>
      </c>
      <c r="BE157" s="291"/>
      <c r="BF157" s="291"/>
      <c r="BG157" s="283" t="s">
        <v>633</v>
      </c>
      <c r="BH157" s="291"/>
    </row>
    <row r="158" spans="1:60" s="180" customFormat="1" ht="20.100000000000001" customHeight="1">
      <c r="A158" s="182">
        <v>127001</v>
      </c>
      <c r="B158" s="182">
        <v>27</v>
      </c>
      <c r="C158" s="182">
        <v>0</v>
      </c>
      <c r="D158" s="182" t="s">
        <v>889</v>
      </c>
      <c r="E158" s="172"/>
      <c r="F158" s="187"/>
      <c r="G158" s="182" t="s">
        <v>890</v>
      </c>
      <c r="H158" s="167" t="s">
        <v>1196</v>
      </c>
      <c r="I158" s="167" t="s">
        <v>1196</v>
      </c>
      <c r="J158" s="167" t="s">
        <v>1197</v>
      </c>
      <c r="K158" s="167" t="s">
        <v>1213</v>
      </c>
      <c r="L158" s="172"/>
      <c r="M158" s="172" t="s">
        <v>61</v>
      </c>
      <c r="N158" s="172" t="s">
        <v>62</v>
      </c>
      <c r="O158" s="182" t="s">
        <v>63</v>
      </c>
      <c r="P158" s="182" t="s">
        <v>64</v>
      </c>
      <c r="Q158" s="172" t="s">
        <v>617</v>
      </c>
      <c r="R158" s="188"/>
      <c r="S158" s="172"/>
      <c r="T158" s="182"/>
      <c r="U158" s="182">
        <v>1</v>
      </c>
      <c r="V158" s="182">
        <v>128001</v>
      </c>
      <c r="W158" s="182"/>
      <c r="X158" s="182"/>
      <c r="Y158" s="182"/>
      <c r="Z158" s="182"/>
      <c r="AA158" s="182"/>
      <c r="AB158" s="189" t="str">
        <f t="shared" ref="AB158:AB231" si="18">CONCATENATE(AW158,BG158,AX158,BG158,AY158,BG158,AZ158,BG158,BA158,BG158,BB158,BG158,BC158,BG158,BD158,BG158,BE158,BG158,BF158)</f>
        <v>;;;;;;;3090500:20;;</v>
      </c>
      <c r="AC158" s="203">
        <v>60</v>
      </c>
      <c r="AD158" s="191"/>
      <c r="AE158" s="182"/>
      <c r="AF158" s="182"/>
      <c r="AG158" s="182"/>
      <c r="AH158" s="182"/>
      <c r="AI158" s="183"/>
      <c r="AJ158" s="182"/>
      <c r="AK158" s="182"/>
      <c r="AL158" s="182"/>
      <c r="AM158" s="191"/>
      <c r="AN158" s="191"/>
      <c r="AO158" s="203">
        <v>60</v>
      </c>
      <c r="AP158" s="203"/>
      <c r="AQ158" s="203"/>
      <c r="AR158" s="203"/>
      <c r="AS158" s="203"/>
      <c r="AT158" s="203"/>
      <c r="AU158" s="203"/>
      <c r="AV158" s="203"/>
      <c r="AW158" s="204"/>
      <c r="AX158" s="204"/>
      <c r="AY158" s="204"/>
      <c r="AZ158" s="204"/>
      <c r="BA158" s="204"/>
      <c r="BB158" s="204"/>
      <c r="BC158" s="204"/>
      <c r="BD158" s="205" t="s">
        <v>891</v>
      </c>
      <c r="BE158" s="204"/>
      <c r="BF158" s="204"/>
      <c r="BG158" s="168" t="s">
        <v>619</v>
      </c>
      <c r="BH158" s="182"/>
    </row>
    <row r="159" spans="1:60" s="180" customFormat="1" ht="20.100000000000001" customHeight="1">
      <c r="A159" s="182">
        <v>127002</v>
      </c>
      <c r="B159" s="182">
        <v>27</v>
      </c>
      <c r="C159" s="182">
        <v>0</v>
      </c>
      <c r="D159" s="182" t="s">
        <v>889</v>
      </c>
      <c r="E159" s="172"/>
      <c r="F159" s="187"/>
      <c r="G159" s="182" t="s">
        <v>890</v>
      </c>
      <c r="H159" s="167" t="s">
        <v>1196</v>
      </c>
      <c r="I159" s="167" t="s">
        <v>1196</v>
      </c>
      <c r="J159" s="167" t="s">
        <v>1197</v>
      </c>
      <c r="K159" s="167" t="s">
        <v>1213</v>
      </c>
      <c r="L159" s="172"/>
      <c r="M159" s="172" t="s">
        <v>61</v>
      </c>
      <c r="N159" s="172" t="s">
        <v>62</v>
      </c>
      <c r="O159" s="182" t="s">
        <v>63</v>
      </c>
      <c r="P159" s="182" t="s">
        <v>64</v>
      </c>
      <c r="Q159" s="172" t="s">
        <v>617</v>
      </c>
      <c r="R159" s="188"/>
      <c r="S159" s="172"/>
      <c r="T159" s="182"/>
      <c r="U159" s="182">
        <v>1</v>
      </c>
      <c r="V159" s="182">
        <v>128001</v>
      </c>
      <c r="W159" s="182"/>
      <c r="X159" s="182"/>
      <c r="Y159" s="182"/>
      <c r="Z159" s="182"/>
      <c r="AA159" s="182"/>
      <c r="AB159" s="190" t="str">
        <f t="shared" si="18"/>
        <v>;;;;;;;3090500:60;;</v>
      </c>
      <c r="AC159" s="203">
        <v>160</v>
      </c>
      <c r="AD159" s="191"/>
      <c r="AE159" s="182"/>
      <c r="AF159" s="182"/>
      <c r="AG159" s="182"/>
      <c r="AH159" s="182"/>
      <c r="AI159" s="183"/>
      <c r="AJ159" s="182"/>
      <c r="AK159" s="182"/>
      <c r="AL159" s="182"/>
      <c r="AM159" s="191"/>
      <c r="AN159" s="191"/>
      <c r="AO159" s="203">
        <v>160</v>
      </c>
      <c r="AP159" s="203"/>
      <c r="AQ159" s="203"/>
      <c r="AR159" s="203"/>
      <c r="AS159" s="203"/>
      <c r="AT159" s="203"/>
      <c r="AU159" s="203"/>
      <c r="AV159" s="203"/>
      <c r="AW159" s="204"/>
      <c r="AX159" s="204"/>
      <c r="AY159" s="204"/>
      <c r="AZ159" s="204"/>
      <c r="BA159" s="204"/>
      <c r="BB159" s="204"/>
      <c r="BC159" s="204"/>
      <c r="BD159" s="197" t="s">
        <v>892</v>
      </c>
      <c r="BE159" s="204"/>
      <c r="BF159" s="204"/>
      <c r="BG159" s="168" t="s">
        <v>619</v>
      </c>
      <c r="BH159" s="182"/>
    </row>
    <row r="160" spans="1:60" s="180" customFormat="1" ht="20.100000000000001" customHeight="1">
      <c r="A160" s="182">
        <v>127003</v>
      </c>
      <c r="B160" s="182">
        <v>27</v>
      </c>
      <c r="C160" s="182">
        <v>0</v>
      </c>
      <c r="D160" s="182" t="s">
        <v>889</v>
      </c>
      <c r="E160" s="172"/>
      <c r="F160" s="187"/>
      <c r="G160" s="182" t="s">
        <v>890</v>
      </c>
      <c r="H160" s="167" t="s">
        <v>1196</v>
      </c>
      <c r="I160" s="167" t="s">
        <v>1196</v>
      </c>
      <c r="J160" s="167" t="s">
        <v>1197</v>
      </c>
      <c r="K160" s="167" t="s">
        <v>1213</v>
      </c>
      <c r="L160" s="172"/>
      <c r="M160" s="172" t="s">
        <v>61</v>
      </c>
      <c r="N160" s="172" t="s">
        <v>62</v>
      </c>
      <c r="O160" s="182" t="s">
        <v>63</v>
      </c>
      <c r="P160" s="182" t="s">
        <v>64</v>
      </c>
      <c r="Q160" s="172" t="s">
        <v>617</v>
      </c>
      <c r="R160" s="188"/>
      <c r="S160" s="172"/>
      <c r="T160" s="182"/>
      <c r="U160" s="182">
        <v>1</v>
      </c>
      <c r="V160" s="182">
        <v>128001</v>
      </c>
      <c r="W160" s="182"/>
      <c r="X160" s="182"/>
      <c r="Y160" s="182"/>
      <c r="Z160" s="182"/>
      <c r="AA160" s="182"/>
      <c r="AB160" s="190" t="str">
        <f t="shared" si="18"/>
        <v>;;;;;;;3090500:200;;</v>
      </c>
      <c r="AC160" s="203">
        <v>360</v>
      </c>
      <c r="AD160" s="191"/>
      <c r="AE160" s="182"/>
      <c r="AF160" s="182"/>
      <c r="AG160" s="182"/>
      <c r="AH160" s="182"/>
      <c r="AI160" s="183"/>
      <c r="AJ160" s="182"/>
      <c r="AK160" s="182"/>
      <c r="AL160" s="182"/>
      <c r="AM160" s="191"/>
      <c r="AN160" s="191"/>
      <c r="AO160" s="203">
        <v>360</v>
      </c>
      <c r="AP160" s="203"/>
      <c r="AQ160" s="203"/>
      <c r="AR160" s="203"/>
      <c r="AS160" s="203"/>
      <c r="AT160" s="203"/>
      <c r="AU160" s="203"/>
      <c r="AV160" s="203"/>
      <c r="AW160" s="204"/>
      <c r="AX160" s="204"/>
      <c r="AY160" s="204"/>
      <c r="AZ160" s="204"/>
      <c r="BA160" s="204"/>
      <c r="BB160" s="204"/>
      <c r="BC160" s="204"/>
      <c r="BD160" s="197" t="s">
        <v>893</v>
      </c>
      <c r="BE160" s="204"/>
      <c r="BF160" s="204"/>
      <c r="BG160" s="182" t="s">
        <v>619</v>
      </c>
      <c r="BH160" s="182"/>
    </row>
    <row r="161" spans="1:60" s="180" customFormat="1" ht="20.100000000000001" customHeight="1">
      <c r="A161" s="182">
        <v>127004</v>
      </c>
      <c r="B161" s="182">
        <v>27</v>
      </c>
      <c r="C161" s="182">
        <v>0</v>
      </c>
      <c r="D161" s="182" t="s">
        <v>889</v>
      </c>
      <c r="E161" s="172"/>
      <c r="F161" s="187"/>
      <c r="G161" s="182" t="s">
        <v>890</v>
      </c>
      <c r="H161" s="167" t="s">
        <v>1196</v>
      </c>
      <c r="I161" s="167" t="s">
        <v>1196</v>
      </c>
      <c r="J161" s="167" t="s">
        <v>1197</v>
      </c>
      <c r="K161" s="167" t="s">
        <v>1213</v>
      </c>
      <c r="L161" s="172"/>
      <c r="M161" s="172" t="s">
        <v>61</v>
      </c>
      <c r="N161" s="172" t="s">
        <v>62</v>
      </c>
      <c r="O161" s="182" t="s">
        <v>63</v>
      </c>
      <c r="P161" s="182" t="s">
        <v>64</v>
      </c>
      <c r="Q161" s="172" t="s">
        <v>617</v>
      </c>
      <c r="R161" s="188"/>
      <c r="S161" s="172"/>
      <c r="T161" s="182"/>
      <c r="U161" s="182">
        <v>1</v>
      </c>
      <c r="V161" s="182">
        <v>128001</v>
      </c>
      <c r="W161" s="182"/>
      <c r="X161" s="182"/>
      <c r="Y161" s="182"/>
      <c r="Z161" s="182"/>
      <c r="AA161" s="182"/>
      <c r="AB161" s="190" t="str">
        <f t="shared" si="18"/>
        <v>;;;;;;;3090500:600;;</v>
      </c>
      <c r="AC161" s="203">
        <v>800</v>
      </c>
      <c r="AD161" s="191"/>
      <c r="AE161" s="182"/>
      <c r="AF161" s="182"/>
      <c r="AG161" s="182"/>
      <c r="AH161" s="182"/>
      <c r="AI161" s="183"/>
      <c r="AJ161" s="182"/>
      <c r="AK161" s="182"/>
      <c r="AL161" s="182"/>
      <c r="AM161" s="191"/>
      <c r="AN161" s="191"/>
      <c r="AO161" s="203">
        <v>800</v>
      </c>
      <c r="AP161" s="203"/>
      <c r="AQ161" s="203"/>
      <c r="AR161" s="203"/>
      <c r="AS161" s="203"/>
      <c r="AT161" s="203"/>
      <c r="AU161" s="203"/>
      <c r="AV161" s="203"/>
      <c r="AW161" s="204"/>
      <c r="AX161" s="204"/>
      <c r="AY161" s="204"/>
      <c r="AZ161" s="204"/>
      <c r="BA161" s="204"/>
      <c r="BB161" s="204"/>
      <c r="BC161" s="204"/>
      <c r="BD161" s="197" t="s">
        <v>894</v>
      </c>
      <c r="BE161" s="204"/>
      <c r="BF161" s="204"/>
      <c r="BG161" s="182" t="s">
        <v>619</v>
      </c>
      <c r="BH161" s="182"/>
    </row>
    <row r="162" spans="1:60" s="180" customFormat="1" ht="20.100000000000001" customHeight="1">
      <c r="A162" s="182">
        <v>127005</v>
      </c>
      <c r="B162" s="182">
        <v>27</v>
      </c>
      <c r="C162" s="182">
        <v>0</v>
      </c>
      <c r="D162" s="182" t="s">
        <v>889</v>
      </c>
      <c r="E162" s="172"/>
      <c r="F162" s="187"/>
      <c r="G162" s="182" t="s">
        <v>890</v>
      </c>
      <c r="H162" s="167" t="s">
        <v>1196</v>
      </c>
      <c r="I162" s="167" t="s">
        <v>1196</v>
      </c>
      <c r="J162" s="167" t="s">
        <v>1197</v>
      </c>
      <c r="K162" s="167" t="s">
        <v>1213</v>
      </c>
      <c r="L162" s="172"/>
      <c r="M162" s="172" t="s">
        <v>61</v>
      </c>
      <c r="N162" s="172" t="s">
        <v>62</v>
      </c>
      <c r="O162" s="182" t="s">
        <v>63</v>
      </c>
      <c r="P162" s="182" t="s">
        <v>64</v>
      </c>
      <c r="Q162" s="172" t="s">
        <v>617</v>
      </c>
      <c r="R162" s="188"/>
      <c r="S162" s="172"/>
      <c r="T162" s="182"/>
      <c r="U162" s="182">
        <v>1</v>
      </c>
      <c r="V162" s="182">
        <v>128001</v>
      </c>
      <c r="W162" s="182"/>
      <c r="X162" s="182"/>
      <c r="Y162" s="182"/>
      <c r="Z162" s="182"/>
      <c r="AA162" s="182"/>
      <c r="AB162" s="190" t="str">
        <f t="shared" si="18"/>
        <v>;;;;;;;3090500:1200;;</v>
      </c>
      <c r="AC162" s="203">
        <v>1500</v>
      </c>
      <c r="AD162" s="191"/>
      <c r="AE162" s="182"/>
      <c r="AF162" s="182"/>
      <c r="AG162" s="182"/>
      <c r="AH162" s="182"/>
      <c r="AI162" s="183"/>
      <c r="AJ162" s="182"/>
      <c r="AK162" s="182"/>
      <c r="AL162" s="182"/>
      <c r="AM162" s="191"/>
      <c r="AN162" s="191"/>
      <c r="AO162" s="203">
        <v>1500</v>
      </c>
      <c r="AP162" s="203"/>
      <c r="AQ162" s="203"/>
      <c r="AR162" s="203"/>
      <c r="AS162" s="203"/>
      <c r="AT162" s="203"/>
      <c r="AU162" s="203"/>
      <c r="AV162" s="203"/>
      <c r="AW162" s="204"/>
      <c r="AX162" s="204"/>
      <c r="AY162" s="204"/>
      <c r="AZ162" s="204"/>
      <c r="BA162" s="204"/>
      <c r="BB162" s="204"/>
      <c r="BC162" s="204"/>
      <c r="BD162" s="197" t="s">
        <v>895</v>
      </c>
      <c r="BE162" s="204"/>
      <c r="BF162" s="204"/>
      <c r="BG162" s="182" t="s">
        <v>619</v>
      </c>
      <c r="BH162" s="182"/>
    </row>
    <row r="163" spans="1:60" s="180" customFormat="1" ht="20.100000000000001" customHeight="1">
      <c r="A163" s="172" t="s">
        <v>896</v>
      </c>
      <c r="B163" s="182">
        <v>28</v>
      </c>
      <c r="C163" s="182">
        <v>0</v>
      </c>
      <c r="D163" s="172" t="s">
        <v>897</v>
      </c>
      <c r="E163" s="172" t="s">
        <v>898</v>
      </c>
      <c r="F163" s="187" t="s">
        <v>899</v>
      </c>
      <c r="G163" s="182" t="s">
        <v>890</v>
      </c>
      <c r="H163" s="167" t="s">
        <v>1196</v>
      </c>
      <c r="I163" s="167" t="s">
        <v>1196</v>
      </c>
      <c r="J163" s="167" t="s">
        <v>1197</v>
      </c>
      <c r="K163" s="167" t="s">
        <v>1213</v>
      </c>
      <c r="L163" s="172"/>
      <c r="M163" s="172" t="s">
        <v>61</v>
      </c>
      <c r="N163" s="172" t="s">
        <v>62</v>
      </c>
      <c r="O163" s="182" t="s">
        <v>63</v>
      </c>
      <c r="P163" s="182" t="s">
        <v>64</v>
      </c>
      <c r="Q163" s="172" t="s">
        <v>617</v>
      </c>
      <c r="R163" s="188"/>
      <c r="S163" s="172"/>
      <c r="T163" s="182">
        <v>0</v>
      </c>
      <c r="U163" s="182">
        <v>0</v>
      </c>
      <c r="V163" s="182">
        <v>0</v>
      </c>
      <c r="W163" s="182"/>
      <c r="X163" s="182"/>
      <c r="Y163" s="182"/>
      <c r="Z163" s="182"/>
      <c r="AA163" s="182"/>
      <c r="AB163" s="190" t="str">
        <f t="shared" si="18"/>
        <v>;;;;;;;;;</v>
      </c>
      <c r="AC163" s="182"/>
      <c r="AD163" s="172"/>
      <c r="AE163" s="182"/>
      <c r="AF163" s="182"/>
      <c r="AG163" s="182"/>
      <c r="AH163" s="182"/>
      <c r="AI163" s="182"/>
      <c r="AJ163" s="182"/>
      <c r="AK163" s="182"/>
      <c r="AL163" s="182"/>
      <c r="AM163" s="182"/>
      <c r="AN163" s="182"/>
      <c r="AO163" s="182"/>
      <c r="AP163" s="182"/>
      <c r="AQ163" s="182"/>
      <c r="AR163" s="182"/>
      <c r="AS163" s="182"/>
      <c r="AT163" s="182"/>
      <c r="AU163" s="182"/>
      <c r="AV163" s="182"/>
      <c r="AW163" s="206"/>
      <c r="AX163" s="206"/>
      <c r="AY163" s="206"/>
      <c r="AZ163" s="206"/>
      <c r="BA163" s="206"/>
      <c r="BB163" s="206"/>
      <c r="BC163" s="206"/>
      <c r="BD163" s="206"/>
      <c r="BE163" s="206"/>
      <c r="BF163" s="206"/>
      <c r="BG163" s="182" t="s">
        <v>619</v>
      </c>
      <c r="BH163" s="182"/>
    </row>
    <row r="164" spans="1:60" s="202" customFormat="1" ht="20.100000000000001" customHeight="1">
      <c r="A164" s="239">
        <v>127006</v>
      </c>
      <c r="B164" s="239">
        <v>27</v>
      </c>
      <c r="C164" s="239">
        <v>0</v>
      </c>
      <c r="D164" s="239" t="s">
        <v>889</v>
      </c>
      <c r="E164" s="238"/>
      <c r="F164" s="240"/>
      <c r="G164" s="239" t="s">
        <v>890</v>
      </c>
      <c r="H164" s="207" t="s">
        <v>1217</v>
      </c>
      <c r="I164" s="207" t="s">
        <v>1217</v>
      </c>
      <c r="J164" s="207" t="s">
        <v>1218</v>
      </c>
      <c r="K164" s="207" t="s">
        <v>1219</v>
      </c>
      <c r="L164" s="238"/>
      <c r="M164" s="238" t="s">
        <v>61</v>
      </c>
      <c r="N164" s="238" t="s">
        <v>62</v>
      </c>
      <c r="O164" s="239" t="s">
        <v>63</v>
      </c>
      <c r="P164" s="239" t="s">
        <v>64</v>
      </c>
      <c r="Q164" s="238" t="s">
        <v>273</v>
      </c>
      <c r="R164" s="241"/>
      <c r="S164" s="238"/>
      <c r="T164" s="239"/>
      <c r="U164" s="239">
        <v>1</v>
      </c>
      <c r="V164" s="239">
        <v>128001</v>
      </c>
      <c r="W164" s="239"/>
      <c r="X164" s="239"/>
      <c r="Y164" s="239"/>
      <c r="Z164" s="239"/>
      <c r="AA164" s="239"/>
      <c r="AB164" s="200" t="str">
        <f t="shared" ref="AB164:AB169" si="19">CONCATENATE(AW164,BG164,AX164,BG164,AY164,BG164,AZ164,BG164,BA164,BG164,BB164,BG164,BC164,BG164,BD164,BG164,BE164,BG164,BF164)</f>
        <v>;;;;;;;3090500:20;;</v>
      </c>
      <c r="AC164" s="261">
        <v>60</v>
      </c>
      <c r="AD164" s="262"/>
      <c r="AE164" s="239"/>
      <c r="AF164" s="239"/>
      <c r="AG164" s="239"/>
      <c r="AH164" s="239"/>
      <c r="AI164" s="244"/>
      <c r="AJ164" s="239"/>
      <c r="AK164" s="239"/>
      <c r="AL164" s="239"/>
      <c r="AM164" s="262"/>
      <c r="AN164" s="262"/>
      <c r="AO164" s="261">
        <v>60</v>
      </c>
      <c r="AP164" s="261"/>
      <c r="AQ164" s="261"/>
      <c r="AR164" s="261"/>
      <c r="AS164" s="261"/>
      <c r="AT164" s="261"/>
      <c r="AU164" s="261"/>
      <c r="AV164" s="261"/>
      <c r="AW164" s="263"/>
      <c r="AX164" s="263"/>
      <c r="AY164" s="263"/>
      <c r="AZ164" s="263"/>
      <c r="BA164" s="263"/>
      <c r="BB164" s="263"/>
      <c r="BC164" s="263"/>
      <c r="BD164" s="264" t="s">
        <v>891</v>
      </c>
      <c r="BE164" s="263"/>
      <c r="BF164" s="263"/>
      <c r="BG164" s="201" t="s">
        <v>619</v>
      </c>
      <c r="BH164" s="239"/>
    </row>
    <row r="165" spans="1:60" s="202" customFormat="1" ht="20.100000000000001" customHeight="1">
      <c r="A165" s="239">
        <v>127007</v>
      </c>
      <c r="B165" s="239">
        <v>27</v>
      </c>
      <c r="C165" s="239">
        <v>0</v>
      </c>
      <c r="D165" s="239" t="s">
        <v>889</v>
      </c>
      <c r="E165" s="238"/>
      <c r="F165" s="240"/>
      <c r="G165" s="239" t="s">
        <v>890</v>
      </c>
      <c r="H165" s="207" t="s">
        <v>1217</v>
      </c>
      <c r="I165" s="207" t="s">
        <v>1217</v>
      </c>
      <c r="J165" s="207" t="s">
        <v>1218</v>
      </c>
      <c r="K165" s="207" t="s">
        <v>1219</v>
      </c>
      <c r="L165" s="238"/>
      <c r="M165" s="238" t="s">
        <v>61</v>
      </c>
      <c r="N165" s="238" t="s">
        <v>62</v>
      </c>
      <c r="O165" s="239" t="s">
        <v>63</v>
      </c>
      <c r="P165" s="239" t="s">
        <v>64</v>
      </c>
      <c r="Q165" s="238" t="s">
        <v>273</v>
      </c>
      <c r="R165" s="241"/>
      <c r="S165" s="238"/>
      <c r="T165" s="239"/>
      <c r="U165" s="239">
        <v>1</v>
      </c>
      <c r="V165" s="239">
        <v>128001</v>
      </c>
      <c r="W165" s="239"/>
      <c r="X165" s="239"/>
      <c r="Y165" s="239"/>
      <c r="Z165" s="239"/>
      <c r="AA165" s="239"/>
      <c r="AB165" s="242" t="str">
        <f t="shared" si="19"/>
        <v>;;;;;;;3090500:60;;</v>
      </c>
      <c r="AC165" s="261">
        <v>160</v>
      </c>
      <c r="AD165" s="262"/>
      <c r="AE165" s="239"/>
      <c r="AF165" s="239"/>
      <c r="AG165" s="239"/>
      <c r="AH165" s="239"/>
      <c r="AI165" s="244"/>
      <c r="AJ165" s="239"/>
      <c r="AK165" s="239"/>
      <c r="AL165" s="239"/>
      <c r="AM165" s="262"/>
      <c r="AN165" s="262"/>
      <c r="AO165" s="261">
        <v>160</v>
      </c>
      <c r="AP165" s="261"/>
      <c r="AQ165" s="261"/>
      <c r="AR165" s="261"/>
      <c r="AS165" s="261"/>
      <c r="AT165" s="261"/>
      <c r="AU165" s="261"/>
      <c r="AV165" s="261"/>
      <c r="AW165" s="263"/>
      <c r="AX165" s="263"/>
      <c r="AY165" s="263"/>
      <c r="AZ165" s="263"/>
      <c r="BA165" s="263"/>
      <c r="BB165" s="263"/>
      <c r="BC165" s="263"/>
      <c r="BD165" s="235" t="s">
        <v>892</v>
      </c>
      <c r="BE165" s="263"/>
      <c r="BF165" s="263"/>
      <c r="BG165" s="201" t="s">
        <v>619</v>
      </c>
      <c r="BH165" s="239"/>
    </row>
    <row r="166" spans="1:60" s="202" customFormat="1" ht="20.100000000000001" customHeight="1">
      <c r="A166" s="239">
        <v>127008</v>
      </c>
      <c r="B166" s="239">
        <v>27</v>
      </c>
      <c r="C166" s="239">
        <v>0</v>
      </c>
      <c r="D166" s="239" t="s">
        <v>889</v>
      </c>
      <c r="E166" s="238"/>
      <c r="F166" s="240"/>
      <c r="G166" s="239" t="s">
        <v>890</v>
      </c>
      <c r="H166" s="207" t="s">
        <v>1217</v>
      </c>
      <c r="I166" s="207" t="s">
        <v>1217</v>
      </c>
      <c r="J166" s="207" t="s">
        <v>1218</v>
      </c>
      <c r="K166" s="207" t="s">
        <v>1219</v>
      </c>
      <c r="L166" s="238"/>
      <c r="M166" s="238" t="s">
        <v>61</v>
      </c>
      <c r="N166" s="238" t="s">
        <v>62</v>
      </c>
      <c r="O166" s="239" t="s">
        <v>63</v>
      </c>
      <c r="P166" s="239" t="s">
        <v>64</v>
      </c>
      <c r="Q166" s="238" t="s">
        <v>273</v>
      </c>
      <c r="R166" s="241"/>
      <c r="S166" s="238"/>
      <c r="T166" s="239"/>
      <c r="U166" s="239">
        <v>1</v>
      </c>
      <c r="V166" s="239">
        <v>128001</v>
      </c>
      <c r="W166" s="239"/>
      <c r="X166" s="239"/>
      <c r="Y166" s="239"/>
      <c r="Z166" s="239"/>
      <c r="AA166" s="239"/>
      <c r="AB166" s="242" t="str">
        <f t="shared" si="19"/>
        <v>;;;;;;;3090500:200;;</v>
      </c>
      <c r="AC166" s="261">
        <v>360</v>
      </c>
      <c r="AD166" s="262"/>
      <c r="AE166" s="239"/>
      <c r="AF166" s="239"/>
      <c r="AG166" s="239"/>
      <c r="AH166" s="239"/>
      <c r="AI166" s="244"/>
      <c r="AJ166" s="239"/>
      <c r="AK166" s="239"/>
      <c r="AL166" s="239"/>
      <c r="AM166" s="262"/>
      <c r="AN166" s="262"/>
      <c r="AO166" s="261">
        <v>360</v>
      </c>
      <c r="AP166" s="261"/>
      <c r="AQ166" s="261"/>
      <c r="AR166" s="261"/>
      <c r="AS166" s="261"/>
      <c r="AT166" s="261"/>
      <c r="AU166" s="261"/>
      <c r="AV166" s="261"/>
      <c r="AW166" s="263"/>
      <c r="AX166" s="263"/>
      <c r="AY166" s="263"/>
      <c r="AZ166" s="263"/>
      <c r="BA166" s="263"/>
      <c r="BB166" s="263"/>
      <c r="BC166" s="263"/>
      <c r="BD166" s="235" t="s">
        <v>893</v>
      </c>
      <c r="BE166" s="263"/>
      <c r="BF166" s="263"/>
      <c r="BG166" s="239" t="s">
        <v>619</v>
      </c>
      <c r="BH166" s="239"/>
    </row>
    <row r="167" spans="1:60" s="202" customFormat="1" ht="20.100000000000001" customHeight="1">
      <c r="A167" s="239">
        <v>127009</v>
      </c>
      <c r="B167" s="239">
        <v>27</v>
      </c>
      <c r="C167" s="239">
        <v>0</v>
      </c>
      <c r="D167" s="239" t="s">
        <v>889</v>
      </c>
      <c r="E167" s="238"/>
      <c r="F167" s="240"/>
      <c r="G167" s="239" t="s">
        <v>890</v>
      </c>
      <c r="H167" s="207" t="s">
        <v>1217</v>
      </c>
      <c r="I167" s="207" t="s">
        <v>1217</v>
      </c>
      <c r="J167" s="207" t="s">
        <v>1218</v>
      </c>
      <c r="K167" s="207" t="s">
        <v>1219</v>
      </c>
      <c r="L167" s="238"/>
      <c r="M167" s="238" t="s">
        <v>61</v>
      </c>
      <c r="N167" s="238" t="s">
        <v>62</v>
      </c>
      <c r="O167" s="239" t="s">
        <v>63</v>
      </c>
      <c r="P167" s="239" t="s">
        <v>64</v>
      </c>
      <c r="Q167" s="238" t="s">
        <v>273</v>
      </c>
      <c r="R167" s="241"/>
      <c r="S167" s="238"/>
      <c r="T167" s="239"/>
      <c r="U167" s="239">
        <v>1</v>
      </c>
      <c r="V167" s="239">
        <v>128001</v>
      </c>
      <c r="W167" s="239"/>
      <c r="X167" s="239"/>
      <c r="Y167" s="239"/>
      <c r="Z167" s="239"/>
      <c r="AA167" s="239"/>
      <c r="AB167" s="242" t="str">
        <f t="shared" si="19"/>
        <v>;;;;;;;3090500:600;;</v>
      </c>
      <c r="AC167" s="261">
        <v>800</v>
      </c>
      <c r="AD167" s="262"/>
      <c r="AE167" s="239"/>
      <c r="AF167" s="239"/>
      <c r="AG167" s="239"/>
      <c r="AH167" s="239"/>
      <c r="AI167" s="244"/>
      <c r="AJ167" s="239"/>
      <c r="AK167" s="239"/>
      <c r="AL167" s="239"/>
      <c r="AM167" s="262"/>
      <c r="AN167" s="262"/>
      <c r="AO167" s="261">
        <v>800</v>
      </c>
      <c r="AP167" s="261"/>
      <c r="AQ167" s="261"/>
      <c r="AR167" s="261"/>
      <c r="AS167" s="261"/>
      <c r="AT167" s="261"/>
      <c r="AU167" s="261"/>
      <c r="AV167" s="261"/>
      <c r="AW167" s="263"/>
      <c r="AX167" s="263"/>
      <c r="AY167" s="263"/>
      <c r="AZ167" s="263"/>
      <c r="BA167" s="263"/>
      <c r="BB167" s="263"/>
      <c r="BC167" s="263"/>
      <c r="BD167" s="235" t="s">
        <v>894</v>
      </c>
      <c r="BE167" s="263"/>
      <c r="BF167" s="263"/>
      <c r="BG167" s="239" t="s">
        <v>619</v>
      </c>
      <c r="BH167" s="239"/>
    </row>
    <row r="168" spans="1:60" s="202" customFormat="1" ht="20.100000000000001" customHeight="1">
      <c r="A168" s="239">
        <v>127010</v>
      </c>
      <c r="B168" s="239">
        <v>27</v>
      </c>
      <c r="C168" s="239">
        <v>0</v>
      </c>
      <c r="D168" s="239" t="s">
        <v>889</v>
      </c>
      <c r="E168" s="238"/>
      <c r="F168" s="240"/>
      <c r="G168" s="239" t="s">
        <v>890</v>
      </c>
      <c r="H168" s="207" t="s">
        <v>1217</v>
      </c>
      <c r="I168" s="207" t="s">
        <v>1217</v>
      </c>
      <c r="J168" s="207" t="s">
        <v>1218</v>
      </c>
      <c r="K168" s="207" t="s">
        <v>1219</v>
      </c>
      <c r="L168" s="238"/>
      <c r="M168" s="238" t="s">
        <v>61</v>
      </c>
      <c r="N168" s="238" t="s">
        <v>62</v>
      </c>
      <c r="O168" s="239" t="s">
        <v>63</v>
      </c>
      <c r="P168" s="239" t="s">
        <v>64</v>
      </c>
      <c r="Q168" s="238" t="s">
        <v>273</v>
      </c>
      <c r="R168" s="241"/>
      <c r="S168" s="238"/>
      <c r="T168" s="239"/>
      <c r="U168" s="239">
        <v>1</v>
      </c>
      <c r="V168" s="239">
        <v>128001</v>
      </c>
      <c r="W168" s="239"/>
      <c r="X168" s="239"/>
      <c r="Y168" s="239"/>
      <c r="Z168" s="239"/>
      <c r="AA168" s="239"/>
      <c r="AB168" s="242" t="str">
        <f t="shared" si="19"/>
        <v>;;;;;;;3090500:1200;;</v>
      </c>
      <c r="AC168" s="261">
        <v>1500</v>
      </c>
      <c r="AD168" s="262"/>
      <c r="AE168" s="239"/>
      <c r="AF168" s="239"/>
      <c r="AG168" s="239"/>
      <c r="AH168" s="239"/>
      <c r="AI168" s="244"/>
      <c r="AJ168" s="239"/>
      <c r="AK168" s="239"/>
      <c r="AL168" s="239"/>
      <c r="AM168" s="262"/>
      <c r="AN168" s="262"/>
      <c r="AO168" s="261">
        <v>1500</v>
      </c>
      <c r="AP168" s="261"/>
      <c r="AQ168" s="261"/>
      <c r="AR168" s="261"/>
      <c r="AS168" s="261"/>
      <c r="AT168" s="261"/>
      <c r="AU168" s="261"/>
      <c r="AV168" s="261"/>
      <c r="AW168" s="263"/>
      <c r="AX168" s="263"/>
      <c r="AY168" s="263"/>
      <c r="AZ168" s="263"/>
      <c r="BA168" s="263"/>
      <c r="BB168" s="263"/>
      <c r="BC168" s="263"/>
      <c r="BD168" s="235" t="s">
        <v>895</v>
      </c>
      <c r="BE168" s="263"/>
      <c r="BF168" s="263"/>
      <c r="BG168" s="239" t="s">
        <v>619</v>
      </c>
      <c r="BH168" s="239"/>
    </row>
    <row r="169" spans="1:60" s="202" customFormat="1" ht="20.100000000000001" customHeight="1">
      <c r="A169" s="238" t="s">
        <v>1157</v>
      </c>
      <c r="B169" s="239">
        <v>28</v>
      </c>
      <c r="C169" s="239">
        <v>0</v>
      </c>
      <c r="D169" s="238" t="s">
        <v>897</v>
      </c>
      <c r="E169" s="238" t="s">
        <v>898</v>
      </c>
      <c r="F169" s="240" t="s">
        <v>899</v>
      </c>
      <c r="G169" s="239" t="s">
        <v>890</v>
      </c>
      <c r="H169" s="207" t="s">
        <v>1217</v>
      </c>
      <c r="I169" s="207" t="s">
        <v>1217</v>
      </c>
      <c r="J169" s="207" t="s">
        <v>1218</v>
      </c>
      <c r="K169" s="207" t="s">
        <v>1219</v>
      </c>
      <c r="L169" s="238"/>
      <c r="M169" s="238" t="s">
        <v>61</v>
      </c>
      <c r="N169" s="238" t="s">
        <v>62</v>
      </c>
      <c r="O169" s="239" t="s">
        <v>63</v>
      </c>
      <c r="P169" s="239" t="s">
        <v>64</v>
      </c>
      <c r="Q169" s="238" t="s">
        <v>273</v>
      </c>
      <c r="R169" s="241"/>
      <c r="S169" s="238"/>
      <c r="T169" s="239">
        <v>0</v>
      </c>
      <c r="U169" s="239">
        <v>0</v>
      </c>
      <c r="V169" s="239">
        <v>0</v>
      </c>
      <c r="W169" s="239"/>
      <c r="X169" s="239"/>
      <c r="Y169" s="239"/>
      <c r="Z169" s="239"/>
      <c r="AA169" s="239"/>
      <c r="AB169" s="242" t="str">
        <f t="shared" si="19"/>
        <v>;;;;;;;;;</v>
      </c>
      <c r="AC169" s="239"/>
      <c r="AD169" s="238"/>
      <c r="AE169" s="239"/>
      <c r="AF169" s="239"/>
      <c r="AG169" s="239"/>
      <c r="AH169" s="239"/>
      <c r="AI169" s="239"/>
      <c r="AJ169" s="239"/>
      <c r="AK169" s="239"/>
      <c r="AL169" s="239"/>
      <c r="AM169" s="239"/>
      <c r="AN169" s="239"/>
      <c r="AO169" s="239"/>
      <c r="AP169" s="239"/>
      <c r="AQ169" s="239"/>
      <c r="AR169" s="239"/>
      <c r="AS169" s="239"/>
      <c r="AT169" s="239"/>
      <c r="AU169" s="239"/>
      <c r="AV169" s="239"/>
      <c r="AW169" s="265"/>
      <c r="AX169" s="265"/>
      <c r="AY169" s="265"/>
      <c r="AZ169" s="265"/>
      <c r="BA169" s="265"/>
      <c r="BB169" s="265"/>
      <c r="BC169" s="265"/>
      <c r="BD169" s="265"/>
      <c r="BE169" s="265"/>
      <c r="BF169" s="265"/>
      <c r="BG169" s="239" t="s">
        <v>619</v>
      </c>
      <c r="BH169" s="239"/>
    </row>
    <row r="170" spans="1:60" s="77" customFormat="1" ht="20.100000000000001" customHeight="1">
      <c r="A170" s="78">
        <v>129001</v>
      </c>
      <c r="B170" s="78">
        <v>29</v>
      </c>
      <c r="C170" s="78">
        <v>0</v>
      </c>
      <c r="D170" s="78" t="s">
        <v>900</v>
      </c>
      <c r="E170" s="78"/>
      <c r="F170" s="79"/>
      <c r="G170" s="78"/>
      <c r="H170" s="101" t="s">
        <v>681</v>
      </c>
      <c r="I170" s="101" t="s">
        <v>681</v>
      </c>
      <c r="J170" s="101" t="s">
        <v>616</v>
      </c>
      <c r="K170" s="101" t="s">
        <v>901</v>
      </c>
      <c r="L170" s="78"/>
      <c r="M170" s="101" t="s">
        <v>61</v>
      </c>
      <c r="N170" s="101" t="s">
        <v>62</v>
      </c>
      <c r="O170" s="78" t="s">
        <v>63</v>
      </c>
      <c r="P170" s="78" t="s">
        <v>64</v>
      </c>
      <c r="Q170" s="101" t="s">
        <v>617</v>
      </c>
      <c r="R170" s="122">
        <v>1307</v>
      </c>
      <c r="S170" s="78"/>
      <c r="T170" s="78"/>
      <c r="U170" s="78">
        <v>0</v>
      </c>
      <c r="V170" s="78">
        <v>0</v>
      </c>
      <c r="W170" s="78" t="s">
        <v>902</v>
      </c>
      <c r="X170" s="78"/>
      <c r="Y170" s="78"/>
      <c r="Z170" s="78"/>
      <c r="AA170" s="78"/>
      <c r="AB170" s="102" t="str">
        <f t="shared" si="18"/>
        <v>30;30;;;;;;;;</v>
      </c>
      <c r="AC170" s="163">
        <v>3010110</v>
      </c>
      <c r="AD170" s="101" t="s">
        <v>903</v>
      </c>
      <c r="AE170" s="78"/>
      <c r="AF170" s="78"/>
      <c r="AG170" s="78"/>
      <c r="AH170" s="78"/>
      <c r="AI170" s="78"/>
      <c r="AJ170" s="78"/>
      <c r="AK170" s="78"/>
      <c r="AL170" s="78"/>
      <c r="AM170" s="78"/>
      <c r="AN170" s="78"/>
      <c r="AO170" s="78"/>
      <c r="AP170" s="78"/>
      <c r="AQ170" s="163">
        <v>3010110</v>
      </c>
      <c r="AR170" s="162">
        <v>6</v>
      </c>
      <c r="AS170" s="162">
        <v>6</v>
      </c>
      <c r="AT170" s="162">
        <v>6</v>
      </c>
      <c r="AU170" s="162"/>
      <c r="AV170" s="162"/>
      <c r="AW170" s="103">
        <v>30</v>
      </c>
      <c r="AX170" s="103">
        <v>30</v>
      </c>
      <c r="AY170" s="103"/>
      <c r="AZ170" s="103"/>
      <c r="BA170" s="103"/>
      <c r="BB170" s="103"/>
      <c r="BC170" s="103"/>
      <c r="BD170" s="103"/>
      <c r="BE170" s="103"/>
      <c r="BF170" s="103"/>
      <c r="BG170" s="78" t="s">
        <v>619</v>
      </c>
      <c r="BH170" s="78"/>
    </row>
    <row r="171" spans="1:60" s="180" customFormat="1" ht="20.100000000000001" customHeight="1">
      <c r="A171" s="182">
        <v>130001</v>
      </c>
      <c r="B171" s="182">
        <v>30</v>
      </c>
      <c r="C171" s="182">
        <v>0</v>
      </c>
      <c r="D171" s="182" t="s">
        <v>904</v>
      </c>
      <c r="E171" s="182"/>
      <c r="F171" s="187" t="s">
        <v>905</v>
      </c>
      <c r="G171" s="182" t="s">
        <v>890</v>
      </c>
      <c r="H171" s="167" t="s">
        <v>1220</v>
      </c>
      <c r="I171" s="167" t="s">
        <v>1220</v>
      </c>
      <c r="J171" s="167" t="s">
        <v>1221</v>
      </c>
      <c r="K171" s="167" t="s">
        <v>1221</v>
      </c>
      <c r="L171" s="182"/>
      <c r="M171" s="172" t="s">
        <v>906</v>
      </c>
      <c r="N171" s="172" t="s">
        <v>907</v>
      </c>
      <c r="O171" s="182" t="s">
        <v>908</v>
      </c>
      <c r="P171" s="182" t="s">
        <v>64</v>
      </c>
      <c r="Q171" s="172" t="s">
        <v>617</v>
      </c>
      <c r="R171" s="182"/>
      <c r="S171" s="182"/>
      <c r="T171" s="182"/>
      <c r="U171" s="182">
        <v>0</v>
      </c>
      <c r="V171" s="182">
        <v>0</v>
      </c>
      <c r="W171" s="182"/>
      <c r="X171" s="182"/>
      <c r="Y171" s="182"/>
      <c r="Z171" s="182"/>
      <c r="AA171" s="182"/>
      <c r="AB171" s="190" t="str">
        <f t="shared" si="18"/>
        <v>;;;;;;;;59;1</v>
      </c>
      <c r="AC171" s="182"/>
      <c r="AD171" s="172"/>
      <c r="AE171" s="182"/>
      <c r="AF171" s="182"/>
      <c r="AG171" s="182"/>
      <c r="AH171" s="182"/>
      <c r="AI171" s="182"/>
      <c r="AJ171" s="182"/>
      <c r="AK171" s="182"/>
      <c r="AL171" s="182"/>
      <c r="AM171" s="182"/>
      <c r="AN171" s="182"/>
      <c r="AO171" s="182"/>
      <c r="AP171" s="182"/>
      <c r="AQ171" s="182"/>
      <c r="AR171" s="182"/>
      <c r="AS171" s="182"/>
      <c r="AT171" s="182"/>
      <c r="AU171" s="182"/>
      <c r="AV171" s="182"/>
      <c r="AW171" s="206"/>
      <c r="AX171" s="206"/>
      <c r="AY171" s="206"/>
      <c r="AZ171" s="206"/>
      <c r="BA171" s="206"/>
      <c r="BB171" s="206"/>
      <c r="BC171" s="206"/>
      <c r="BD171" s="206"/>
      <c r="BE171" s="206">
        <v>59</v>
      </c>
      <c r="BF171" s="206">
        <v>1</v>
      </c>
      <c r="BG171" s="182" t="s">
        <v>619</v>
      </c>
      <c r="BH171" s="182"/>
    </row>
    <row r="172" spans="1:60" s="202" customFormat="1" ht="20.100000000000001" customHeight="1">
      <c r="A172" s="239">
        <v>130002</v>
      </c>
      <c r="B172" s="239">
        <v>30</v>
      </c>
      <c r="C172" s="239">
        <v>0</v>
      </c>
      <c r="D172" s="239" t="s">
        <v>904</v>
      </c>
      <c r="E172" s="239"/>
      <c r="F172" s="240" t="s">
        <v>905</v>
      </c>
      <c r="G172" s="239" t="s">
        <v>890</v>
      </c>
      <c r="H172" s="207" t="s">
        <v>1215</v>
      </c>
      <c r="I172" s="207" t="s">
        <v>1215</v>
      </c>
      <c r="J172" s="207" t="s">
        <v>1222</v>
      </c>
      <c r="K172" s="207" t="s">
        <v>1222</v>
      </c>
      <c r="L172" s="239"/>
      <c r="M172" s="238" t="s">
        <v>906</v>
      </c>
      <c r="N172" s="238" t="s">
        <v>907</v>
      </c>
      <c r="O172" s="239" t="s">
        <v>908</v>
      </c>
      <c r="P172" s="239" t="s">
        <v>64</v>
      </c>
      <c r="Q172" s="238" t="s">
        <v>273</v>
      </c>
      <c r="R172" s="239"/>
      <c r="S172" s="239"/>
      <c r="T172" s="239"/>
      <c r="U172" s="239">
        <v>0</v>
      </c>
      <c r="V172" s="239">
        <v>0</v>
      </c>
      <c r="W172" s="239"/>
      <c r="X172" s="239"/>
      <c r="Y172" s="239"/>
      <c r="Z172" s="239"/>
      <c r="AA172" s="239"/>
      <c r="AB172" s="242" t="str">
        <f t="shared" ref="AB172" si="20">CONCATENATE(AW172,BG172,AX172,BG172,AY172,BG172,AZ172,BG172,BA172,BG172,BB172,BG172,BC172,BG172,BD172,BG172,BE172,BG172,BF172)</f>
        <v>;;;;;;;;59;1</v>
      </c>
      <c r="AC172" s="239"/>
      <c r="AD172" s="238"/>
      <c r="AE172" s="239"/>
      <c r="AF172" s="239"/>
      <c r="AG172" s="239"/>
      <c r="AH172" s="239"/>
      <c r="AI172" s="239"/>
      <c r="AJ172" s="239"/>
      <c r="AK172" s="239"/>
      <c r="AL172" s="239"/>
      <c r="AM172" s="239"/>
      <c r="AN172" s="239"/>
      <c r="AO172" s="239"/>
      <c r="AP172" s="239"/>
      <c r="AQ172" s="239"/>
      <c r="AR172" s="239"/>
      <c r="AS172" s="239"/>
      <c r="AT172" s="239"/>
      <c r="AU172" s="239"/>
      <c r="AV172" s="239"/>
      <c r="AW172" s="265"/>
      <c r="AX172" s="265"/>
      <c r="AY172" s="265"/>
      <c r="AZ172" s="265"/>
      <c r="BA172" s="265"/>
      <c r="BB172" s="265"/>
      <c r="BC172" s="265"/>
      <c r="BD172" s="265"/>
      <c r="BE172" s="265">
        <v>59</v>
      </c>
      <c r="BF172" s="265">
        <v>1</v>
      </c>
      <c r="BG172" s="239" t="s">
        <v>619</v>
      </c>
      <c r="BH172" s="239"/>
    </row>
    <row r="173" spans="1:60" s="216" customFormat="1" ht="20.100000000000001" customHeight="1">
      <c r="A173" s="217">
        <v>131101</v>
      </c>
      <c r="B173" s="217">
        <v>31</v>
      </c>
      <c r="C173" s="217">
        <v>1</v>
      </c>
      <c r="D173" s="217" t="s">
        <v>909</v>
      </c>
      <c r="E173" s="217" t="s">
        <v>910</v>
      </c>
      <c r="F173" s="218" t="s">
        <v>911</v>
      </c>
      <c r="G173" s="217" t="s">
        <v>890</v>
      </c>
      <c r="H173" s="222" t="s">
        <v>1198</v>
      </c>
      <c r="I173" s="222" t="s">
        <v>1198</v>
      </c>
      <c r="J173" s="222" t="s">
        <v>1200</v>
      </c>
      <c r="K173" s="222" t="s">
        <v>1200</v>
      </c>
      <c r="L173" s="217"/>
      <c r="M173" s="215" t="s">
        <v>906</v>
      </c>
      <c r="N173" s="215" t="s">
        <v>907</v>
      </c>
      <c r="O173" s="217" t="s">
        <v>908</v>
      </c>
      <c r="P173" s="217" t="s">
        <v>64</v>
      </c>
      <c r="Q173" s="215" t="s">
        <v>617</v>
      </c>
      <c r="R173" s="217"/>
      <c r="S173" s="217"/>
      <c r="T173" s="217"/>
      <c r="U173" s="217">
        <v>5</v>
      </c>
      <c r="V173" s="217"/>
      <c r="W173" s="217"/>
      <c r="X173" s="217"/>
      <c r="Y173" s="217"/>
      <c r="Z173" s="217"/>
      <c r="AA173" s="217"/>
      <c r="AB173" s="219" t="str">
        <f t="shared" si="18"/>
        <v>;;;;;;;3020203:1;;</v>
      </c>
      <c r="AC173" s="217">
        <v>1300001</v>
      </c>
      <c r="AD173" s="217"/>
      <c r="AE173" s="217"/>
      <c r="AF173" s="217"/>
      <c r="AG173" s="217"/>
      <c r="AH173" s="217"/>
      <c r="AI173" s="217"/>
      <c r="AJ173" s="217"/>
      <c r="AK173" s="217"/>
      <c r="AL173" s="217"/>
      <c r="AM173" s="217">
        <v>1300001</v>
      </c>
      <c r="AN173" s="217"/>
      <c r="AO173" s="217"/>
      <c r="AP173" s="217"/>
      <c r="AQ173" s="217"/>
      <c r="AR173" s="217"/>
      <c r="AS173" s="217"/>
      <c r="AT173" s="217"/>
      <c r="AU173" s="217"/>
      <c r="AV173" s="217"/>
      <c r="AW173" s="217"/>
      <c r="AX173" s="217"/>
      <c r="AY173" s="217"/>
      <c r="AZ173" s="217"/>
      <c r="BA173" s="217"/>
      <c r="BB173" s="217"/>
      <c r="BC173" s="217"/>
      <c r="BD173" s="218" t="s">
        <v>1097</v>
      </c>
      <c r="BE173" s="217"/>
      <c r="BF173" s="217"/>
      <c r="BG173" s="217" t="s">
        <v>619</v>
      </c>
      <c r="BH173" s="217"/>
    </row>
    <row r="174" spans="1:60" s="216" customFormat="1" ht="20.100000000000001" customHeight="1">
      <c r="A174" s="217">
        <v>131201</v>
      </c>
      <c r="B174" s="217">
        <v>31</v>
      </c>
      <c r="C174" s="217">
        <v>2</v>
      </c>
      <c r="D174" s="217" t="s">
        <v>909</v>
      </c>
      <c r="E174" s="217" t="s">
        <v>912</v>
      </c>
      <c r="F174" s="218"/>
      <c r="G174" s="217" t="s">
        <v>890</v>
      </c>
      <c r="H174" s="222" t="s">
        <v>1198</v>
      </c>
      <c r="I174" s="222" t="s">
        <v>1198</v>
      </c>
      <c r="J174" s="222" t="s">
        <v>1200</v>
      </c>
      <c r="K174" s="222" t="s">
        <v>1200</v>
      </c>
      <c r="L174" s="217"/>
      <c r="M174" s="215" t="s">
        <v>906</v>
      </c>
      <c r="N174" s="215" t="s">
        <v>907</v>
      </c>
      <c r="O174" s="217" t="s">
        <v>908</v>
      </c>
      <c r="P174" s="217" t="s">
        <v>64</v>
      </c>
      <c r="Q174" s="215" t="s">
        <v>617</v>
      </c>
      <c r="R174" s="217"/>
      <c r="S174" s="217"/>
      <c r="T174" s="217"/>
      <c r="U174" s="217">
        <v>5</v>
      </c>
      <c r="V174" s="217"/>
      <c r="W174" s="217"/>
      <c r="X174" s="217"/>
      <c r="Y174" s="217"/>
      <c r="Z174" s="217"/>
      <c r="AA174" s="217"/>
      <c r="AB174" s="219" t="str">
        <f t="shared" si="18"/>
        <v>;;;;;;;3020203:2|3160200:10;;</v>
      </c>
      <c r="AC174" s="217">
        <v>1300002</v>
      </c>
      <c r="AD174" s="217"/>
      <c r="AE174" s="217"/>
      <c r="AF174" s="217"/>
      <c r="AG174" s="217"/>
      <c r="AH174" s="217"/>
      <c r="AI174" s="217"/>
      <c r="AJ174" s="217"/>
      <c r="AK174" s="217"/>
      <c r="AL174" s="217"/>
      <c r="AM174" s="217">
        <v>1300002</v>
      </c>
      <c r="AN174" s="217"/>
      <c r="AO174" s="217"/>
      <c r="AP174" s="217"/>
      <c r="AQ174" s="217"/>
      <c r="AR174" s="217"/>
      <c r="AS174" s="217"/>
      <c r="AT174" s="217"/>
      <c r="AU174" s="217"/>
      <c r="AV174" s="217"/>
      <c r="AW174" s="217"/>
      <c r="AX174" s="217"/>
      <c r="AY174" s="217"/>
      <c r="AZ174" s="217"/>
      <c r="BA174" s="217"/>
      <c r="BB174" s="217"/>
      <c r="BC174" s="217"/>
      <c r="BD174" s="220" t="s">
        <v>1098</v>
      </c>
      <c r="BE174" s="217"/>
      <c r="BF174" s="217"/>
      <c r="BG174" s="217" t="s">
        <v>619</v>
      </c>
      <c r="BH174" s="217"/>
    </row>
    <row r="175" spans="1:60" s="216" customFormat="1" ht="20.100000000000001" customHeight="1">
      <c r="A175" s="217">
        <v>131301</v>
      </c>
      <c r="B175" s="217">
        <v>31</v>
      </c>
      <c r="C175" s="217">
        <v>3</v>
      </c>
      <c r="D175" s="217" t="s">
        <v>909</v>
      </c>
      <c r="E175" s="217" t="s">
        <v>913</v>
      </c>
      <c r="F175" s="218"/>
      <c r="G175" s="217" t="s">
        <v>890</v>
      </c>
      <c r="H175" s="222" t="s">
        <v>1198</v>
      </c>
      <c r="I175" s="222" t="s">
        <v>1198</v>
      </c>
      <c r="J175" s="222" t="s">
        <v>1200</v>
      </c>
      <c r="K175" s="222" t="s">
        <v>1200</v>
      </c>
      <c r="L175" s="217"/>
      <c r="M175" s="215" t="s">
        <v>906</v>
      </c>
      <c r="N175" s="215" t="s">
        <v>907</v>
      </c>
      <c r="O175" s="217" t="s">
        <v>908</v>
      </c>
      <c r="P175" s="217" t="s">
        <v>64</v>
      </c>
      <c r="Q175" s="215" t="s">
        <v>617</v>
      </c>
      <c r="R175" s="217"/>
      <c r="S175" s="217"/>
      <c r="T175" s="217"/>
      <c r="U175" s="217">
        <v>5</v>
      </c>
      <c r="V175" s="217"/>
      <c r="W175" s="217"/>
      <c r="X175" s="217"/>
      <c r="Y175" s="217"/>
      <c r="Z175" s="217"/>
      <c r="AA175" s="217"/>
      <c r="AB175" s="219" t="str">
        <f t="shared" si="18"/>
        <v>;;;;;;;3020204:1|3160200:10|4040009:10;;</v>
      </c>
      <c r="AC175" s="217">
        <v>1300003</v>
      </c>
      <c r="AD175" s="217"/>
      <c r="AE175" s="217"/>
      <c r="AF175" s="217"/>
      <c r="AG175" s="217"/>
      <c r="AH175" s="217"/>
      <c r="AI175" s="217"/>
      <c r="AJ175" s="217"/>
      <c r="AK175" s="217"/>
      <c r="AL175" s="217"/>
      <c r="AM175" s="217">
        <v>1300003</v>
      </c>
      <c r="AN175" s="217"/>
      <c r="AO175" s="217"/>
      <c r="AP175" s="217"/>
      <c r="AQ175" s="217"/>
      <c r="AR175" s="217"/>
      <c r="AS175" s="217"/>
      <c r="AT175" s="217"/>
      <c r="AU175" s="217"/>
      <c r="AV175" s="217"/>
      <c r="AW175" s="217"/>
      <c r="AX175" s="217"/>
      <c r="AY175" s="217"/>
      <c r="AZ175" s="217"/>
      <c r="BA175" s="217"/>
      <c r="BB175" s="217"/>
      <c r="BC175" s="217"/>
      <c r="BD175" s="220" t="s">
        <v>1099</v>
      </c>
      <c r="BE175" s="217"/>
      <c r="BF175" s="217"/>
      <c r="BG175" s="217" t="s">
        <v>619</v>
      </c>
      <c r="BH175" s="217"/>
    </row>
    <row r="176" spans="1:60" s="216" customFormat="1" ht="20.100000000000001" customHeight="1">
      <c r="A176" s="217">
        <v>132101</v>
      </c>
      <c r="B176" s="217">
        <v>32</v>
      </c>
      <c r="C176" s="217">
        <v>1</v>
      </c>
      <c r="D176" s="217" t="s">
        <v>914</v>
      </c>
      <c r="E176" s="217"/>
      <c r="F176" s="218"/>
      <c r="G176" s="217" t="s">
        <v>915</v>
      </c>
      <c r="H176" s="222" t="s">
        <v>1198</v>
      </c>
      <c r="I176" s="222" t="s">
        <v>1198</v>
      </c>
      <c r="J176" s="222" t="s">
        <v>1200</v>
      </c>
      <c r="K176" s="222" t="s">
        <v>1200</v>
      </c>
      <c r="L176" s="217"/>
      <c r="M176" s="215" t="s">
        <v>906</v>
      </c>
      <c r="N176" s="215" t="s">
        <v>907</v>
      </c>
      <c r="O176" s="217" t="s">
        <v>908</v>
      </c>
      <c r="P176" s="217" t="s">
        <v>64</v>
      </c>
      <c r="Q176" s="215" t="s">
        <v>617</v>
      </c>
      <c r="R176" s="217"/>
      <c r="S176" s="217"/>
      <c r="T176" s="217"/>
      <c r="U176" s="217">
        <v>1</v>
      </c>
      <c r="V176" s="217">
        <v>131101</v>
      </c>
      <c r="W176" s="217"/>
      <c r="X176" s="217"/>
      <c r="Y176" s="217"/>
      <c r="Z176" s="217"/>
      <c r="AA176" s="217"/>
      <c r="AB176" s="219" t="str">
        <f>CONCATENATE(AW176,BG176,AX176,BG176,AY176,BG176,AZ176,BG176,BA176,BG176,BB176,BG176,BC176,BG176,BD176,BG176,BE176,BG176,BF176)</f>
        <v>;;;;;;;3170000:1;;</v>
      </c>
      <c r="AC176" s="217">
        <v>10</v>
      </c>
      <c r="AD176" s="217"/>
      <c r="AE176" s="217"/>
      <c r="AF176" s="217"/>
      <c r="AG176" s="217"/>
      <c r="AH176" s="217"/>
      <c r="AI176" s="217"/>
      <c r="AJ176" s="217"/>
      <c r="AK176" s="217"/>
      <c r="AL176" s="217"/>
      <c r="AM176" s="217"/>
      <c r="AN176" s="217"/>
      <c r="AO176" s="217"/>
      <c r="AP176" s="217">
        <v>10</v>
      </c>
      <c r="AQ176" s="217"/>
      <c r="AR176" s="217"/>
      <c r="AS176" s="217"/>
      <c r="AT176" s="217"/>
      <c r="AU176" s="217"/>
      <c r="AV176" s="217"/>
      <c r="AW176" s="217"/>
      <c r="AX176" s="217"/>
      <c r="AY176" s="217"/>
      <c r="AZ176" s="217"/>
      <c r="BA176" s="217"/>
      <c r="BB176" s="217"/>
      <c r="BC176" s="217"/>
      <c r="BD176" s="228" t="s">
        <v>916</v>
      </c>
      <c r="BE176" s="217"/>
      <c r="BF176" s="217"/>
      <c r="BG176" s="217" t="s">
        <v>619</v>
      </c>
      <c r="BH176" s="217"/>
    </row>
    <row r="177" spans="1:60" s="216" customFormat="1" ht="20.100000000000001" customHeight="1">
      <c r="A177" s="217">
        <v>132102</v>
      </c>
      <c r="B177" s="217">
        <v>32</v>
      </c>
      <c r="C177" s="217">
        <v>1</v>
      </c>
      <c r="D177" s="217" t="s">
        <v>917</v>
      </c>
      <c r="E177" s="217"/>
      <c r="F177" s="218"/>
      <c r="G177" s="217" t="s">
        <v>918</v>
      </c>
      <c r="H177" s="222" t="s">
        <v>1198</v>
      </c>
      <c r="I177" s="222" t="s">
        <v>1198</v>
      </c>
      <c r="J177" s="222" t="s">
        <v>1200</v>
      </c>
      <c r="K177" s="222" t="s">
        <v>1200</v>
      </c>
      <c r="L177" s="217"/>
      <c r="M177" s="215" t="s">
        <v>906</v>
      </c>
      <c r="N177" s="215" t="s">
        <v>907</v>
      </c>
      <c r="O177" s="217" t="s">
        <v>908</v>
      </c>
      <c r="P177" s="217" t="s">
        <v>64</v>
      </c>
      <c r="Q177" s="215" t="s">
        <v>617</v>
      </c>
      <c r="R177" s="217"/>
      <c r="S177" s="217"/>
      <c r="T177" s="217"/>
      <c r="U177" s="217">
        <v>1</v>
      </c>
      <c r="V177" s="217">
        <v>131101</v>
      </c>
      <c r="W177" s="217"/>
      <c r="X177" s="217"/>
      <c r="Y177" s="217"/>
      <c r="Z177" s="217"/>
      <c r="AA177" s="217"/>
      <c r="AB177" s="219" t="str">
        <f t="shared" si="18"/>
        <v>;;;;;;;3170000:1;;</v>
      </c>
      <c r="AC177" s="217">
        <v>20</v>
      </c>
      <c r="AD177" s="217"/>
      <c r="AE177" s="217"/>
      <c r="AF177" s="217"/>
      <c r="AG177" s="217"/>
      <c r="AH177" s="217"/>
      <c r="AI177" s="217"/>
      <c r="AJ177" s="217"/>
      <c r="AK177" s="217"/>
      <c r="AL177" s="217"/>
      <c r="AM177" s="217"/>
      <c r="AN177" s="217"/>
      <c r="AO177" s="217"/>
      <c r="AP177" s="217">
        <v>20</v>
      </c>
      <c r="AQ177" s="217"/>
      <c r="AR177" s="217"/>
      <c r="AS177" s="217"/>
      <c r="AT177" s="217"/>
      <c r="AU177" s="217"/>
      <c r="AV177" s="217"/>
      <c r="AW177" s="217"/>
      <c r="AX177" s="217"/>
      <c r="AY177" s="217"/>
      <c r="AZ177" s="217"/>
      <c r="BA177" s="217"/>
      <c r="BB177" s="217"/>
      <c r="BC177" s="217"/>
      <c r="BD177" s="228" t="s">
        <v>916</v>
      </c>
      <c r="BE177" s="217"/>
      <c r="BF177" s="217"/>
      <c r="BG177" s="217" t="s">
        <v>619</v>
      </c>
      <c r="BH177" s="217"/>
    </row>
    <row r="178" spans="1:60" s="216" customFormat="1" ht="20.100000000000001" customHeight="1">
      <c r="A178" s="217">
        <v>132103</v>
      </c>
      <c r="B178" s="217">
        <v>32</v>
      </c>
      <c r="C178" s="217">
        <v>1</v>
      </c>
      <c r="D178" s="217" t="s">
        <v>919</v>
      </c>
      <c r="E178" s="217"/>
      <c r="F178" s="218"/>
      <c r="G178" s="217" t="s">
        <v>920</v>
      </c>
      <c r="H178" s="222" t="s">
        <v>1198</v>
      </c>
      <c r="I178" s="222" t="s">
        <v>1198</v>
      </c>
      <c r="J178" s="222" t="s">
        <v>1200</v>
      </c>
      <c r="K178" s="222" t="s">
        <v>1200</v>
      </c>
      <c r="L178" s="217"/>
      <c r="M178" s="215" t="s">
        <v>906</v>
      </c>
      <c r="N178" s="215" t="s">
        <v>907</v>
      </c>
      <c r="O178" s="217" t="s">
        <v>908</v>
      </c>
      <c r="P178" s="217" t="s">
        <v>64</v>
      </c>
      <c r="Q178" s="215" t="s">
        <v>617</v>
      </c>
      <c r="R178" s="217"/>
      <c r="S178" s="217"/>
      <c r="T178" s="217"/>
      <c r="U178" s="217">
        <v>1</v>
      </c>
      <c r="V178" s="217">
        <v>131101</v>
      </c>
      <c r="W178" s="217"/>
      <c r="X178" s="217"/>
      <c r="Y178" s="217"/>
      <c r="Z178" s="217"/>
      <c r="AA178" s="217"/>
      <c r="AB178" s="219" t="str">
        <f t="shared" si="18"/>
        <v>;;;;;;;3170000:1;;</v>
      </c>
      <c r="AC178" s="217">
        <v>50</v>
      </c>
      <c r="AD178" s="217"/>
      <c r="AE178" s="217"/>
      <c r="AF178" s="217"/>
      <c r="AG178" s="217"/>
      <c r="AH178" s="217"/>
      <c r="AI178" s="217"/>
      <c r="AJ178" s="217"/>
      <c r="AK178" s="217"/>
      <c r="AL178" s="217"/>
      <c r="AM178" s="217"/>
      <c r="AN178" s="217"/>
      <c r="AO178" s="217"/>
      <c r="AP178" s="217">
        <v>50</v>
      </c>
      <c r="AQ178" s="217"/>
      <c r="AR178" s="217"/>
      <c r="AS178" s="217"/>
      <c r="AT178" s="217"/>
      <c r="AU178" s="217"/>
      <c r="AV178" s="217"/>
      <c r="AW178" s="217"/>
      <c r="AX178" s="217"/>
      <c r="AY178" s="217"/>
      <c r="AZ178" s="217"/>
      <c r="BA178" s="217"/>
      <c r="BB178" s="217"/>
      <c r="BC178" s="217"/>
      <c r="BD178" s="228" t="s">
        <v>916</v>
      </c>
      <c r="BE178" s="217"/>
      <c r="BF178" s="217"/>
      <c r="BG178" s="217" t="s">
        <v>619</v>
      </c>
      <c r="BH178" s="217"/>
    </row>
    <row r="179" spans="1:60" s="216" customFormat="1" ht="20.100000000000001" customHeight="1">
      <c r="A179" s="217">
        <v>132104</v>
      </c>
      <c r="B179" s="217">
        <v>32</v>
      </c>
      <c r="C179" s="217">
        <v>1</v>
      </c>
      <c r="D179" s="217" t="s">
        <v>921</v>
      </c>
      <c r="E179" s="217"/>
      <c r="F179" s="218"/>
      <c r="G179" s="217" t="s">
        <v>922</v>
      </c>
      <c r="H179" s="222" t="s">
        <v>1198</v>
      </c>
      <c r="I179" s="222" t="s">
        <v>1198</v>
      </c>
      <c r="J179" s="222" t="s">
        <v>1200</v>
      </c>
      <c r="K179" s="222" t="s">
        <v>1200</v>
      </c>
      <c r="L179" s="217"/>
      <c r="M179" s="215" t="s">
        <v>906</v>
      </c>
      <c r="N179" s="215" t="s">
        <v>907</v>
      </c>
      <c r="O179" s="217" t="s">
        <v>908</v>
      </c>
      <c r="P179" s="217" t="s">
        <v>64</v>
      </c>
      <c r="Q179" s="215" t="s">
        <v>617</v>
      </c>
      <c r="R179" s="217"/>
      <c r="S179" s="217"/>
      <c r="T179" s="217"/>
      <c r="U179" s="217">
        <v>1</v>
      </c>
      <c r="V179" s="217">
        <v>131101</v>
      </c>
      <c r="W179" s="217"/>
      <c r="X179" s="217"/>
      <c r="Y179" s="217"/>
      <c r="Z179" s="217"/>
      <c r="AA179" s="217"/>
      <c r="AB179" s="219" t="str">
        <f t="shared" si="18"/>
        <v>;;;;;;;3170000:1;;</v>
      </c>
      <c r="AC179" s="217">
        <v>100</v>
      </c>
      <c r="AD179" s="217"/>
      <c r="AE179" s="217"/>
      <c r="AF179" s="217"/>
      <c r="AG179" s="217"/>
      <c r="AH179" s="217"/>
      <c r="AI179" s="217"/>
      <c r="AJ179" s="217"/>
      <c r="AK179" s="217"/>
      <c r="AL179" s="217"/>
      <c r="AM179" s="217"/>
      <c r="AN179" s="217"/>
      <c r="AO179" s="217"/>
      <c r="AP179" s="217">
        <v>100</v>
      </c>
      <c r="AQ179" s="217"/>
      <c r="AR179" s="217"/>
      <c r="AS179" s="217"/>
      <c r="AT179" s="217"/>
      <c r="AU179" s="217"/>
      <c r="AV179" s="217"/>
      <c r="AW179" s="217"/>
      <c r="AX179" s="217"/>
      <c r="AY179" s="217"/>
      <c r="AZ179" s="217"/>
      <c r="BA179" s="217"/>
      <c r="BB179" s="217"/>
      <c r="BC179" s="217"/>
      <c r="BD179" s="228" t="s">
        <v>916</v>
      </c>
      <c r="BE179" s="217"/>
      <c r="BF179" s="217"/>
      <c r="BG179" s="217" t="s">
        <v>619</v>
      </c>
      <c r="BH179" s="217"/>
    </row>
    <row r="180" spans="1:60" s="216" customFormat="1" ht="20.100000000000001" customHeight="1">
      <c r="A180" s="217">
        <v>132201</v>
      </c>
      <c r="B180" s="217">
        <v>32</v>
      </c>
      <c r="C180" s="217">
        <v>2</v>
      </c>
      <c r="D180" s="217" t="s">
        <v>914</v>
      </c>
      <c r="E180" s="217"/>
      <c r="F180" s="218"/>
      <c r="G180" s="217" t="s">
        <v>915</v>
      </c>
      <c r="H180" s="222" t="s">
        <v>1198</v>
      </c>
      <c r="I180" s="222" t="s">
        <v>1198</v>
      </c>
      <c r="J180" s="222" t="s">
        <v>1200</v>
      </c>
      <c r="K180" s="222" t="s">
        <v>1200</v>
      </c>
      <c r="L180" s="217"/>
      <c r="M180" s="215" t="s">
        <v>906</v>
      </c>
      <c r="N180" s="215" t="s">
        <v>907</v>
      </c>
      <c r="O180" s="217" t="s">
        <v>908</v>
      </c>
      <c r="P180" s="217" t="s">
        <v>64</v>
      </c>
      <c r="Q180" s="215" t="s">
        <v>617</v>
      </c>
      <c r="R180" s="217"/>
      <c r="S180" s="217"/>
      <c r="T180" s="217"/>
      <c r="U180" s="217">
        <v>1</v>
      </c>
      <c r="V180" s="217">
        <v>131201</v>
      </c>
      <c r="W180" s="217"/>
      <c r="X180" s="217"/>
      <c r="Y180" s="217"/>
      <c r="Z180" s="217"/>
      <c r="AA180" s="217"/>
      <c r="AB180" s="219" t="str">
        <f t="shared" si="18"/>
        <v>;;;;;;;3160100:100;;</v>
      </c>
      <c r="AC180" s="217">
        <v>10</v>
      </c>
      <c r="AD180" s="217"/>
      <c r="AE180" s="217"/>
      <c r="AF180" s="217"/>
      <c r="AG180" s="217"/>
      <c r="AH180" s="217"/>
      <c r="AI180" s="217"/>
      <c r="AJ180" s="217"/>
      <c r="AK180" s="217"/>
      <c r="AL180" s="217"/>
      <c r="AM180" s="217"/>
      <c r="AN180" s="217"/>
      <c r="AO180" s="217"/>
      <c r="AP180" s="217">
        <v>10</v>
      </c>
      <c r="AQ180" s="217"/>
      <c r="AR180" s="217"/>
      <c r="AS180" s="217"/>
      <c r="AT180" s="217"/>
      <c r="AU180" s="217"/>
      <c r="AV180" s="217"/>
      <c r="AW180" s="217"/>
      <c r="AX180" s="217"/>
      <c r="AY180" s="217"/>
      <c r="AZ180" s="217"/>
      <c r="BA180" s="217"/>
      <c r="BB180" s="217"/>
      <c r="BC180" s="217"/>
      <c r="BD180" s="228" t="s">
        <v>923</v>
      </c>
      <c r="BE180" s="217"/>
      <c r="BF180" s="217"/>
      <c r="BG180" s="217" t="s">
        <v>619</v>
      </c>
      <c r="BH180" s="217"/>
    </row>
    <row r="181" spans="1:60" s="216" customFormat="1" ht="20.100000000000001" customHeight="1">
      <c r="A181" s="217">
        <v>132202</v>
      </c>
      <c r="B181" s="217">
        <v>32</v>
      </c>
      <c r="C181" s="217">
        <v>2</v>
      </c>
      <c r="D181" s="217" t="s">
        <v>917</v>
      </c>
      <c r="E181" s="217"/>
      <c r="F181" s="218"/>
      <c r="G181" s="217" t="s">
        <v>918</v>
      </c>
      <c r="H181" s="222" t="s">
        <v>1198</v>
      </c>
      <c r="I181" s="222" t="s">
        <v>1198</v>
      </c>
      <c r="J181" s="222" t="s">
        <v>1200</v>
      </c>
      <c r="K181" s="222" t="s">
        <v>1200</v>
      </c>
      <c r="L181" s="217"/>
      <c r="M181" s="215" t="s">
        <v>906</v>
      </c>
      <c r="N181" s="215" t="s">
        <v>907</v>
      </c>
      <c r="O181" s="217" t="s">
        <v>908</v>
      </c>
      <c r="P181" s="217" t="s">
        <v>64</v>
      </c>
      <c r="Q181" s="215" t="s">
        <v>617</v>
      </c>
      <c r="R181" s="217"/>
      <c r="S181" s="217"/>
      <c r="T181" s="217"/>
      <c r="U181" s="217">
        <v>1</v>
      </c>
      <c r="V181" s="217">
        <v>131201</v>
      </c>
      <c r="W181" s="217"/>
      <c r="X181" s="217"/>
      <c r="Y181" s="217"/>
      <c r="Z181" s="217"/>
      <c r="AA181" s="217"/>
      <c r="AB181" s="219" t="str">
        <f t="shared" si="18"/>
        <v>;;;;;;;3160100:100;;</v>
      </c>
      <c r="AC181" s="217">
        <v>20</v>
      </c>
      <c r="AD181" s="217"/>
      <c r="AE181" s="217"/>
      <c r="AF181" s="217"/>
      <c r="AG181" s="217"/>
      <c r="AH181" s="217"/>
      <c r="AI181" s="217"/>
      <c r="AJ181" s="217"/>
      <c r="AK181" s="217"/>
      <c r="AL181" s="217"/>
      <c r="AM181" s="217"/>
      <c r="AN181" s="217"/>
      <c r="AO181" s="217"/>
      <c r="AP181" s="217">
        <v>20</v>
      </c>
      <c r="AQ181" s="217"/>
      <c r="AR181" s="217"/>
      <c r="AS181" s="217"/>
      <c r="AT181" s="217"/>
      <c r="AU181" s="217"/>
      <c r="AV181" s="217"/>
      <c r="AW181" s="217"/>
      <c r="AX181" s="217"/>
      <c r="AY181" s="217"/>
      <c r="AZ181" s="217"/>
      <c r="BA181" s="217"/>
      <c r="BB181" s="217"/>
      <c r="BC181" s="217"/>
      <c r="BD181" s="228" t="s">
        <v>923</v>
      </c>
      <c r="BE181" s="217"/>
      <c r="BF181" s="217"/>
      <c r="BG181" s="217" t="s">
        <v>619</v>
      </c>
      <c r="BH181" s="217"/>
    </row>
    <row r="182" spans="1:60" s="216" customFormat="1" ht="20.100000000000001" customHeight="1">
      <c r="A182" s="217">
        <v>132203</v>
      </c>
      <c r="B182" s="217">
        <v>32</v>
      </c>
      <c r="C182" s="217">
        <v>2</v>
      </c>
      <c r="D182" s="217" t="s">
        <v>919</v>
      </c>
      <c r="E182" s="217"/>
      <c r="F182" s="218"/>
      <c r="G182" s="217" t="s">
        <v>920</v>
      </c>
      <c r="H182" s="222" t="s">
        <v>1198</v>
      </c>
      <c r="I182" s="222" t="s">
        <v>1198</v>
      </c>
      <c r="J182" s="222" t="s">
        <v>1200</v>
      </c>
      <c r="K182" s="222" t="s">
        <v>1200</v>
      </c>
      <c r="L182" s="217"/>
      <c r="M182" s="215" t="s">
        <v>906</v>
      </c>
      <c r="N182" s="215" t="s">
        <v>907</v>
      </c>
      <c r="O182" s="217" t="s">
        <v>908</v>
      </c>
      <c r="P182" s="217" t="s">
        <v>64</v>
      </c>
      <c r="Q182" s="215" t="s">
        <v>617</v>
      </c>
      <c r="R182" s="217"/>
      <c r="S182" s="217"/>
      <c r="T182" s="217"/>
      <c r="U182" s="217">
        <v>1</v>
      </c>
      <c r="V182" s="217">
        <v>131201</v>
      </c>
      <c r="W182" s="217"/>
      <c r="X182" s="217"/>
      <c r="Y182" s="217"/>
      <c r="Z182" s="217"/>
      <c r="AA182" s="217"/>
      <c r="AB182" s="219" t="str">
        <f t="shared" si="18"/>
        <v>;;;;;;;3160100:100;;</v>
      </c>
      <c r="AC182" s="217">
        <v>50</v>
      </c>
      <c r="AD182" s="217"/>
      <c r="AE182" s="217"/>
      <c r="AF182" s="217"/>
      <c r="AG182" s="217"/>
      <c r="AH182" s="217"/>
      <c r="AI182" s="217"/>
      <c r="AJ182" s="217"/>
      <c r="AK182" s="217"/>
      <c r="AL182" s="217"/>
      <c r="AM182" s="217"/>
      <c r="AN182" s="217"/>
      <c r="AO182" s="217"/>
      <c r="AP182" s="217">
        <v>50</v>
      </c>
      <c r="AQ182" s="217"/>
      <c r="AR182" s="217"/>
      <c r="AS182" s="217"/>
      <c r="AT182" s="217"/>
      <c r="AU182" s="217"/>
      <c r="AV182" s="217"/>
      <c r="AW182" s="217"/>
      <c r="AX182" s="217"/>
      <c r="AY182" s="217"/>
      <c r="AZ182" s="217"/>
      <c r="BA182" s="217"/>
      <c r="BB182" s="217"/>
      <c r="BC182" s="217"/>
      <c r="BD182" s="228" t="s">
        <v>923</v>
      </c>
      <c r="BE182" s="217"/>
      <c r="BF182" s="217"/>
      <c r="BG182" s="217" t="s">
        <v>619</v>
      </c>
      <c r="BH182" s="217"/>
    </row>
    <row r="183" spans="1:60" s="216" customFormat="1" ht="20.100000000000001" customHeight="1">
      <c r="A183" s="217">
        <v>132204</v>
      </c>
      <c r="B183" s="217">
        <v>32</v>
      </c>
      <c r="C183" s="217">
        <v>2</v>
      </c>
      <c r="D183" s="217" t="s">
        <v>921</v>
      </c>
      <c r="E183" s="217"/>
      <c r="F183" s="218"/>
      <c r="G183" s="217" t="s">
        <v>922</v>
      </c>
      <c r="H183" s="222" t="s">
        <v>1198</v>
      </c>
      <c r="I183" s="222" t="s">
        <v>1198</v>
      </c>
      <c r="J183" s="222" t="s">
        <v>1200</v>
      </c>
      <c r="K183" s="222" t="s">
        <v>1200</v>
      </c>
      <c r="L183" s="217"/>
      <c r="M183" s="215" t="s">
        <v>906</v>
      </c>
      <c r="N183" s="215" t="s">
        <v>907</v>
      </c>
      <c r="O183" s="217" t="s">
        <v>908</v>
      </c>
      <c r="P183" s="217" t="s">
        <v>64</v>
      </c>
      <c r="Q183" s="215" t="s">
        <v>617</v>
      </c>
      <c r="R183" s="217"/>
      <c r="S183" s="217"/>
      <c r="T183" s="217"/>
      <c r="U183" s="217">
        <v>1</v>
      </c>
      <c r="V183" s="217">
        <v>131201</v>
      </c>
      <c r="W183" s="217"/>
      <c r="X183" s="217"/>
      <c r="Y183" s="217"/>
      <c r="Z183" s="217"/>
      <c r="AA183" s="217"/>
      <c r="AB183" s="219" t="str">
        <f t="shared" si="18"/>
        <v>;;;;;;;3160100:100;;</v>
      </c>
      <c r="AC183" s="217">
        <v>100</v>
      </c>
      <c r="AD183" s="217"/>
      <c r="AE183" s="217"/>
      <c r="AF183" s="217"/>
      <c r="AG183" s="217"/>
      <c r="AH183" s="217"/>
      <c r="AI183" s="217"/>
      <c r="AJ183" s="217"/>
      <c r="AK183" s="217"/>
      <c r="AL183" s="217"/>
      <c r="AM183" s="217"/>
      <c r="AN183" s="217"/>
      <c r="AO183" s="217"/>
      <c r="AP183" s="217">
        <v>100</v>
      </c>
      <c r="AQ183" s="217"/>
      <c r="AR183" s="217"/>
      <c r="AS183" s="217"/>
      <c r="AT183" s="217"/>
      <c r="AU183" s="217"/>
      <c r="AV183" s="217"/>
      <c r="AW183" s="217"/>
      <c r="AX183" s="217"/>
      <c r="AY183" s="217"/>
      <c r="AZ183" s="217"/>
      <c r="BA183" s="217"/>
      <c r="BB183" s="217"/>
      <c r="BC183" s="217"/>
      <c r="BD183" s="228" t="s">
        <v>923</v>
      </c>
      <c r="BE183" s="217"/>
      <c r="BF183" s="217"/>
      <c r="BG183" s="217" t="s">
        <v>619</v>
      </c>
      <c r="BH183" s="217"/>
    </row>
    <row r="184" spans="1:60" s="216" customFormat="1" ht="20.100000000000001" customHeight="1">
      <c r="A184" s="217">
        <v>132301</v>
      </c>
      <c r="B184" s="217">
        <v>32</v>
      </c>
      <c r="C184" s="217">
        <v>3</v>
      </c>
      <c r="D184" s="217" t="s">
        <v>914</v>
      </c>
      <c r="E184" s="217"/>
      <c r="F184" s="218"/>
      <c r="G184" s="217" t="s">
        <v>915</v>
      </c>
      <c r="H184" s="222" t="s">
        <v>1198</v>
      </c>
      <c r="I184" s="222" t="s">
        <v>1198</v>
      </c>
      <c r="J184" s="222" t="s">
        <v>1200</v>
      </c>
      <c r="K184" s="222" t="s">
        <v>1200</v>
      </c>
      <c r="L184" s="217"/>
      <c r="M184" s="215" t="s">
        <v>906</v>
      </c>
      <c r="N184" s="215" t="s">
        <v>907</v>
      </c>
      <c r="O184" s="217" t="s">
        <v>908</v>
      </c>
      <c r="P184" s="217" t="s">
        <v>64</v>
      </c>
      <c r="Q184" s="215" t="s">
        <v>617</v>
      </c>
      <c r="R184" s="217"/>
      <c r="S184" s="217"/>
      <c r="T184" s="217"/>
      <c r="U184" s="217">
        <v>1</v>
      </c>
      <c r="V184" s="217">
        <v>131301</v>
      </c>
      <c r="W184" s="217"/>
      <c r="X184" s="217"/>
      <c r="Y184" s="217"/>
      <c r="Z184" s="217"/>
      <c r="AA184" s="217"/>
      <c r="AB184" s="219" t="str">
        <f t="shared" si="18"/>
        <v>;;;;;;;3090500:100;;</v>
      </c>
      <c r="AC184" s="217">
        <v>10</v>
      </c>
      <c r="AD184" s="217"/>
      <c r="AE184" s="217"/>
      <c r="AF184" s="217"/>
      <c r="AG184" s="217"/>
      <c r="AH184" s="217"/>
      <c r="AI184" s="217"/>
      <c r="AJ184" s="217"/>
      <c r="AK184" s="217"/>
      <c r="AL184" s="217"/>
      <c r="AM184" s="217"/>
      <c r="AN184" s="217"/>
      <c r="AO184" s="217"/>
      <c r="AP184" s="217">
        <v>10</v>
      </c>
      <c r="AQ184" s="217"/>
      <c r="AR184" s="217"/>
      <c r="AS184" s="217"/>
      <c r="AT184" s="217"/>
      <c r="AU184" s="217"/>
      <c r="AV184" s="217"/>
      <c r="AW184" s="217"/>
      <c r="AX184" s="217"/>
      <c r="AY184" s="217"/>
      <c r="AZ184" s="217"/>
      <c r="BA184" s="217"/>
      <c r="BB184" s="217"/>
      <c r="BC184" s="217"/>
      <c r="BD184" s="228" t="s">
        <v>924</v>
      </c>
      <c r="BE184" s="217"/>
      <c r="BF184" s="217"/>
      <c r="BG184" s="217" t="s">
        <v>619</v>
      </c>
      <c r="BH184" s="217"/>
    </row>
    <row r="185" spans="1:60" s="216" customFormat="1" ht="20.100000000000001" customHeight="1">
      <c r="A185" s="217">
        <v>132302</v>
      </c>
      <c r="B185" s="217">
        <v>32</v>
      </c>
      <c r="C185" s="217">
        <v>3</v>
      </c>
      <c r="D185" s="217" t="s">
        <v>917</v>
      </c>
      <c r="E185" s="217"/>
      <c r="F185" s="218"/>
      <c r="G185" s="217" t="s">
        <v>918</v>
      </c>
      <c r="H185" s="222" t="s">
        <v>1198</v>
      </c>
      <c r="I185" s="222" t="s">
        <v>1198</v>
      </c>
      <c r="J185" s="222" t="s">
        <v>1200</v>
      </c>
      <c r="K185" s="222" t="s">
        <v>1200</v>
      </c>
      <c r="L185" s="217"/>
      <c r="M185" s="215" t="s">
        <v>906</v>
      </c>
      <c r="N185" s="215" t="s">
        <v>907</v>
      </c>
      <c r="O185" s="217" t="s">
        <v>908</v>
      </c>
      <c r="P185" s="217" t="s">
        <v>64</v>
      </c>
      <c r="Q185" s="215" t="s">
        <v>617</v>
      </c>
      <c r="R185" s="217"/>
      <c r="S185" s="217"/>
      <c r="T185" s="217"/>
      <c r="U185" s="217">
        <v>1</v>
      </c>
      <c r="V185" s="217">
        <v>131301</v>
      </c>
      <c r="W185" s="217"/>
      <c r="X185" s="217"/>
      <c r="Y185" s="217"/>
      <c r="Z185" s="217"/>
      <c r="AA185" s="217"/>
      <c r="AB185" s="219" t="str">
        <f t="shared" si="18"/>
        <v>;;;;;;;3090500:100;;</v>
      </c>
      <c r="AC185" s="217">
        <v>20</v>
      </c>
      <c r="AD185" s="217"/>
      <c r="AE185" s="217"/>
      <c r="AF185" s="217"/>
      <c r="AG185" s="217"/>
      <c r="AH185" s="217"/>
      <c r="AI185" s="217"/>
      <c r="AJ185" s="217"/>
      <c r="AK185" s="217"/>
      <c r="AL185" s="217"/>
      <c r="AM185" s="217"/>
      <c r="AN185" s="217"/>
      <c r="AO185" s="217"/>
      <c r="AP185" s="217">
        <v>20</v>
      </c>
      <c r="AQ185" s="217"/>
      <c r="AR185" s="217"/>
      <c r="AS185" s="217"/>
      <c r="AT185" s="217"/>
      <c r="AU185" s="217"/>
      <c r="AV185" s="217"/>
      <c r="AW185" s="217"/>
      <c r="AX185" s="217"/>
      <c r="AY185" s="217"/>
      <c r="AZ185" s="217"/>
      <c r="BA185" s="217"/>
      <c r="BB185" s="217"/>
      <c r="BC185" s="217"/>
      <c r="BD185" s="228" t="s">
        <v>924</v>
      </c>
      <c r="BE185" s="217"/>
      <c r="BF185" s="217"/>
      <c r="BG185" s="217" t="s">
        <v>619</v>
      </c>
      <c r="BH185" s="217"/>
    </row>
    <row r="186" spans="1:60" s="216" customFormat="1" ht="20.100000000000001" customHeight="1">
      <c r="A186" s="217">
        <v>132303</v>
      </c>
      <c r="B186" s="217">
        <v>32</v>
      </c>
      <c r="C186" s="217">
        <v>3</v>
      </c>
      <c r="D186" s="217" t="s">
        <v>919</v>
      </c>
      <c r="E186" s="217"/>
      <c r="F186" s="218"/>
      <c r="G186" s="217" t="s">
        <v>920</v>
      </c>
      <c r="H186" s="222" t="s">
        <v>1198</v>
      </c>
      <c r="I186" s="222" t="s">
        <v>1198</v>
      </c>
      <c r="J186" s="222" t="s">
        <v>1200</v>
      </c>
      <c r="K186" s="222" t="s">
        <v>1200</v>
      </c>
      <c r="L186" s="217"/>
      <c r="M186" s="215" t="s">
        <v>906</v>
      </c>
      <c r="N186" s="215" t="s">
        <v>907</v>
      </c>
      <c r="O186" s="217" t="s">
        <v>908</v>
      </c>
      <c r="P186" s="217" t="s">
        <v>64</v>
      </c>
      <c r="Q186" s="215" t="s">
        <v>617</v>
      </c>
      <c r="R186" s="217"/>
      <c r="S186" s="217"/>
      <c r="T186" s="217"/>
      <c r="U186" s="217">
        <v>1</v>
      </c>
      <c r="V186" s="217">
        <v>131301</v>
      </c>
      <c r="W186" s="217"/>
      <c r="X186" s="217"/>
      <c r="Y186" s="217"/>
      <c r="Z186" s="217"/>
      <c r="AA186" s="217"/>
      <c r="AB186" s="219" t="str">
        <f t="shared" si="18"/>
        <v>;;;;;;;3090500:100;;</v>
      </c>
      <c r="AC186" s="217">
        <v>50</v>
      </c>
      <c r="AD186" s="217"/>
      <c r="AE186" s="217"/>
      <c r="AF186" s="217"/>
      <c r="AG186" s="217"/>
      <c r="AH186" s="217"/>
      <c r="AI186" s="217"/>
      <c r="AJ186" s="217"/>
      <c r="AK186" s="217"/>
      <c r="AL186" s="217"/>
      <c r="AM186" s="217"/>
      <c r="AN186" s="217"/>
      <c r="AO186" s="217"/>
      <c r="AP186" s="217">
        <v>50</v>
      </c>
      <c r="AQ186" s="217"/>
      <c r="AR186" s="217"/>
      <c r="AS186" s="217"/>
      <c r="AT186" s="217"/>
      <c r="AU186" s="217"/>
      <c r="AV186" s="217"/>
      <c r="AW186" s="217"/>
      <c r="AX186" s="217"/>
      <c r="AY186" s="217"/>
      <c r="AZ186" s="217"/>
      <c r="BA186" s="217"/>
      <c r="BB186" s="217"/>
      <c r="BC186" s="217"/>
      <c r="BD186" s="228" t="s">
        <v>924</v>
      </c>
      <c r="BE186" s="217"/>
      <c r="BF186" s="217"/>
      <c r="BG186" s="217" t="s">
        <v>619</v>
      </c>
      <c r="BH186" s="217"/>
    </row>
    <row r="187" spans="1:60" s="216" customFormat="1" ht="20.100000000000001" customHeight="1">
      <c r="A187" s="229">
        <v>132304</v>
      </c>
      <c r="B187" s="229">
        <v>32</v>
      </c>
      <c r="C187" s="229">
        <v>3</v>
      </c>
      <c r="D187" s="229" t="s">
        <v>921</v>
      </c>
      <c r="E187" s="229"/>
      <c r="F187" s="230"/>
      <c r="G187" s="229" t="s">
        <v>922</v>
      </c>
      <c r="H187" s="222" t="s">
        <v>1198</v>
      </c>
      <c r="I187" s="222" t="s">
        <v>1198</v>
      </c>
      <c r="J187" s="222" t="s">
        <v>1200</v>
      </c>
      <c r="K187" s="222" t="s">
        <v>1200</v>
      </c>
      <c r="L187" s="229"/>
      <c r="M187" s="231" t="s">
        <v>906</v>
      </c>
      <c r="N187" s="231" t="s">
        <v>907</v>
      </c>
      <c r="O187" s="229" t="s">
        <v>908</v>
      </c>
      <c r="P187" s="229" t="s">
        <v>64</v>
      </c>
      <c r="Q187" s="231" t="s">
        <v>617</v>
      </c>
      <c r="R187" s="229"/>
      <c r="S187" s="229"/>
      <c r="T187" s="229"/>
      <c r="U187" s="229">
        <v>1</v>
      </c>
      <c r="V187" s="229">
        <v>131301</v>
      </c>
      <c r="W187" s="229"/>
      <c r="X187" s="229"/>
      <c r="Y187" s="229"/>
      <c r="Z187" s="229"/>
      <c r="AA187" s="229"/>
      <c r="AB187" s="232" t="str">
        <f t="shared" si="18"/>
        <v>;;;;;;;3090500:100;;</v>
      </c>
      <c r="AC187" s="229">
        <v>100</v>
      </c>
      <c r="AD187" s="229"/>
      <c r="AE187" s="229"/>
      <c r="AF187" s="229"/>
      <c r="AG187" s="229"/>
      <c r="AH187" s="229"/>
      <c r="AI187" s="229"/>
      <c r="AJ187" s="229"/>
      <c r="AK187" s="229"/>
      <c r="AL187" s="229"/>
      <c r="AM187" s="229"/>
      <c r="AN187" s="229"/>
      <c r="AO187" s="229"/>
      <c r="AP187" s="229">
        <v>100</v>
      </c>
      <c r="AQ187" s="229"/>
      <c r="AR187" s="229"/>
      <c r="AS187" s="229"/>
      <c r="AT187" s="229"/>
      <c r="AU187" s="229"/>
      <c r="AV187" s="229"/>
      <c r="AW187" s="229"/>
      <c r="AX187" s="229"/>
      <c r="AY187" s="229"/>
      <c r="AZ187" s="229"/>
      <c r="BA187" s="229"/>
      <c r="BB187" s="229"/>
      <c r="BC187" s="229"/>
      <c r="BD187" s="233" t="s">
        <v>924</v>
      </c>
      <c r="BE187" s="229"/>
      <c r="BF187" s="229"/>
      <c r="BG187" s="229" t="s">
        <v>619</v>
      </c>
      <c r="BH187" s="229"/>
    </row>
    <row r="188" spans="1:60" s="180" customFormat="1" ht="19.5" customHeight="1">
      <c r="A188" s="182">
        <v>133101</v>
      </c>
      <c r="B188" s="182">
        <v>33</v>
      </c>
      <c r="C188" s="182">
        <v>1</v>
      </c>
      <c r="D188" s="182" t="s">
        <v>925</v>
      </c>
      <c r="E188" s="182" t="s">
        <v>926</v>
      </c>
      <c r="F188" s="183"/>
      <c r="G188" s="182" t="s">
        <v>927</v>
      </c>
      <c r="H188" s="167" t="s">
        <v>1196</v>
      </c>
      <c r="I188" s="167" t="s">
        <v>1196</v>
      </c>
      <c r="J188" s="167" t="s">
        <v>1197</v>
      </c>
      <c r="K188" s="167" t="s">
        <v>1197</v>
      </c>
      <c r="L188" s="182"/>
      <c r="M188" s="172" t="s">
        <v>906</v>
      </c>
      <c r="N188" s="172" t="s">
        <v>907</v>
      </c>
      <c r="O188" s="182" t="s">
        <v>908</v>
      </c>
      <c r="P188" s="182" t="s">
        <v>64</v>
      </c>
      <c r="Q188" s="172" t="s">
        <v>617</v>
      </c>
      <c r="R188" s="182"/>
      <c r="S188" s="182"/>
      <c r="T188" s="182"/>
      <c r="U188" s="182">
        <v>1</v>
      </c>
      <c r="V188" s="182"/>
      <c r="W188" s="182"/>
      <c r="X188" s="182"/>
      <c r="Y188" s="182"/>
      <c r="Z188" s="182"/>
      <c r="AA188" s="182"/>
      <c r="AB188" s="174" t="str">
        <f t="shared" si="18"/>
        <v>100000;;;;;;;;;</v>
      </c>
      <c r="AC188" s="184">
        <v>600002</v>
      </c>
      <c r="AD188" s="182">
        <v>20</v>
      </c>
      <c r="AE188" s="182"/>
      <c r="AF188" s="182"/>
      <c r="AG188" s="182"/>
      <c r="AH188" s="182"/>
      <c r="AI188" s="182"/>
      <c r="AJ188" s="182"/>
      <c r="AK188" s="182"/>
      <c r="AL188" s="182"/>
      <c r="AM188" s="184">
        <v>600002</v>
      </c>
      <c r="AN188" s="182"/>
      <c r="AO188" s="182"/>
      <c r="AP188" s="182"/>
      <c r="AQ188" s="182"/>
      <c r="AR188" s="182"/>
      <c r="AS188" s="182"/>
      <c r="AT188" s="182">
        <v>20</v>
      </c>
      <c r="AU188" s="182"/>
      <c r="AV188" s="182"/>
      <c r="AW188" s="182">
        <v>100000</v>
      </c>
      <c r="AX188" s="182"/>
      <c r="AY188" s="182"/>
      <c r="AZ188" s="182"/>
      <c r="BA188" s="182"/>
      <c r="BB188" s="182"/>
      <c r="BC188" s="182"/>
      <c r="BD188" s="182"/>
      <c r="BE188" s="182"/>
      <c r="BF188" s="182"/>
      <c r="BG188" s="182" t="s">
        <v>619</v>
      </c>
      <c r="BH188" s="182"/>
    </row>
    <row r="189" spans="1:60" s="180" customFormat="1" ht="20.100000000000001" customHeight="1">
      <c r="A189" s="182">
        <v>133102</v>
      </c>
      <c r="B189" s="182">
        <v>33</v>
      </c>
      <c r="C189" s="182">
        <v>1</v>
      </c>
      <c r="D189" s="182" t="s">
        <v>928</v>
      </c>
      <c r="E189" s="182"/>
      <c r="F189" s="183"/>
      <c r="G189" s="182" t="s">
        <v>929</v>
      </c>
      <c r="H189" s="167" t="s">
        <v>1196</v>
      </c>
      <c r="I189" s="167" t="s">
        <v>1196</v>
      </c>
      <c r="J189" s="167" t="s">
        <v>1197</v>
      </c>
      <c r="K189" s="167" t="s">
        <v>1197</v>
      </c>
      <c r="L189" s="182"/>
      <c r="M189" s="172" t="s">
        <v>906</v>
      </c>
      <c r="N189" s="172" t="s">
        <v>907</v>
      </c>
      <c r="O189" s="182" t="s">
        <v>908</v>
      </c>
      <c r="P189" s="182" t="s">
        <v>64</v>
      </c>
      <c r="Q189" s="172" t="s">
        <v>617</v>
      </c>
      <c r="R189" s="182"/>
      <c r="S189" s="182"/>
      <c r="T189" s="182"/>
      <c r="U189" s="182">
        <v>1</v>
      </c>
      <c r="V189" s="182"/>
      <c r="W189" s="182"/>
      <c r="X189" s="182"/>
      <c r="Y189" s="182"/>
      <c r="Z189" s="182"/>
      <c r="AA189" s="182"/>
      <c r="AB189" s="174" t="str">
        <f t="shared" si="18"/>
        <v>;;;;;;;3160100:300;;</v>
      </c>
      <c r="AC189" s="184">
        <v>600003</v>
      </c>
      <c r="AD189" s="182">
        <v>20</v>
      </c>
      <c r="AE189" s="182"/>
      <c r="AF189" s="182"/>
      <c r="AG189" s="182"/>
      <c r="AH189" s="182"/>
      <c r="AI189" s="182"/>
      <c r="AJ189" s="182"/>
      <c r="AK189" s="182"/>
      <c r="AL189" s="182"/>
      <c r="AM189" s="184">
        <v>600003</v>
      </c>
      <c r="AN189" s="182"/>
      <c r="AO189" s="182"/>
      <c r="AP189" s="182"/>
      <c r="AQ189" s="182"/>
      <c r="AR189" s="182"/>
      <c r="AS189" s="182"/>
      <c r="AT189" s="182">
        <v>20</v>
      </c>
      <c r="AU189" s="182"/>
      <c r="AV189" s="182"/>
      <c r="AW189" s="182"/>
      <c r="AX189" s="182"/>
      <c r="AY189" s="182"/>
      <c r="AZ189" s="182"/>
      <c r="BA189" s="182"/>
      <c r="BB189" s="182"/>
      <c r="BC189" s="182"/>
      <c r="BD189" s="185" t="s">
        <v>1084</v>
      </c>
      <c r="BE189" s="182"/>
      <c r="BF189" s="182"/>
      <c r="BG189" s="182" t="s">
        <v>619</v>
      </c>
      <c r="BH189" s="182"/>
    </row>
    <row r="190" spans="1:60" s="180" customFormat="1" ht="20.100000000000001" customHeight="1">
      <c r="A190" s="182">
        <v>133103</v>
      </c>
      <c r="B190" s="182">
        <v>33</v>
      </c>
      <c r="C190" s="182">
        <v>1</v>
      </c>
      <c r="D190" s="182" t="s">
        <v>930</v>
      </c>
      <c r="E190" s="182"/>
      <c r="F190" s="183"/>
      <c r="G190" s="182" t="s">
        <v>931</v>
      </c>
      <c r="H190" s="167" t="s">
        <v>1196</v>
      </c>
      <c r="I190" s="167" t="s">
        <v>1196</v>
      </c>
      <c r="J190" s="167" t="s">
        <v>1197</v>
      </c>
      <c r="K190" s="167" t="s">
        <v>1197</v>
      </c>
      <c r="L190" s="182"/>
      <c r="M190" s="172" t="s">
        <v>906</v>
      </c>
      <c r="N190" s="172" t="s">
        <v>907</v>
      </c>
      <c r="O190" s="182" t="s">
        <v>908</v>
      </c>
      <c r="P190" s="182" t="s">
        <v>64</v>
      </c>
      <c r="Q190" s="172" t="s">
        <v>617</v>
      </c>
      <c r="R190" s="182"/>
      <c r="S190" s="182"/>
      <c r="T190" s="182"/>
      <c r="U190" s="182">
        <v>1</v>
      </c>
      <c r="V190" s="182"/>
      <c r="W190" s="182"/>
      <c r="X190" s="182"/>
      <c r="Y190" s="182"/>
      <c r="Z190" s="182"/>
      <c r="AA190" s="182"/>
      <c r="AB190" s="174" t="str">
        <f t="shared" si="18"/>
        <v>;;;;;;;3090200:500;;</v>
      </c>
      <c r="AC190" s="184">
        <v>600004</v>
      </c>
      <c r="AD190" s="182">
        <v>20</v>
      </c>
      <c r="AE190" s="182"/>
      <c r="AF190" s="182"/>
      <c r="AG190" s="182"/>
      <c r="AH190" s="182"/>
      <c r="AI190" s="182"/>
      <c r="AJ190" s="182"/>
      <c r="AK190" s="182"/>
      <c r="AL190" s="182"/>
      <c r="AM190" s="184">
        <v>600004</v>
      </c>
      <c r="AN190" s="182"/>
      <c r="AO190" s="182"/>
      <c r="AP190" s="182"/>
      <c r="AQ190" s="182"/>
      <c r="AR190" s="182"/>
      <c r="AS190" s="182"/>
      <c r="AT190" s="182">
        <v>20</v>
      </c>
      <c r="AU190" s="182"/>
      <c r="AV190" s="182"/>
      <c r="AW190" s="182"/>
      <c r="AX190" s="182"/>
      <c r="AY190" s="182"/>
      <c r="AZ190" s="182"/>
      <c r="BA190" s="182"/>
      <c r="BB190" s="182"/>
      <c r="BC190" s="182"/>
      <c r="BD190" s="186" t="s">
        <v>932</v>
      </c>
      <c r="BE190" s="182"/>
      <c r="BF190" s="182"/>
      <c r="BG190" s="182" t="s">
        <v>619</v>
      </c>
      <c r="BH190" s="182"/>
    </row>
    <row r="191" spans="1:60" s="202" customFormat="1" ht="20.100000000000001" customHeight="1">
      <c r="A191" s="239">
        <v>133104</v>
      </c>
      <c r="B191" s="239">
        <v>33</v>
      </c>
      <c r="C191" s="239">
        <v>1</v>
      </c>
      <c r="D191" s="239" t="s">
        <v>925</v>
      </c>
      <c r="E191" s="239" t="s">
        <v>926</v>
      </c>
      <c r="F191" s="244"/>
      <c r="G191" s="239" t="s">
        <v>927</v>
      </c>
      <c r="H191" s="207" t="s">
        <v>1214</v>
      </c>
      <c r="I191" s="207" t="s">
        <v>1214</v>
      </c>
      <c r="J191" s="207" t="s">
        <v>1215</v>
      </c>
      <c r="K191" s="207" t="s">
        <v>1215</v>
      </c>
      <c r="L191" s="239"/>
      <c r="M191" s="238" t="s">
        <v>906</v>
      </c>
      <c r="N191" s="238" t="s">
        <v>907</v>
      </c>
      <c r="O191" s="239" t="s">
        <v>908</v>
      </c>
      <c r="P191" s="239" t="s">
        <v>64</v>
      </c>
      <c r="Q191" s="238" t="s">
        <v>288</v>
      </c>
      <c r="R191" s="239"/>
      <c r="S191" s="239"/>
      <c r="T191" s="239"/>
      <c r="U191" s="239">
        <v>1</v>
      </c>
      <c r="V191" s="239"/>
      <c r="W191" s="239"/>
      <c r="X191" s="239"/>
      <c r="Y191" s="239"/>
      <c r="Z191" s="239"/>
      <c r="AA191" s="239"/>
      <c r="AB191" s="247" t="str">
        <f t="shared" ref="AB191:AB193" si="21">CONCATENATE(AW191,BG191,AX191,BG191,AY191,BG191,AZ191,BG191,BA191,BG191,BB191,BG191,BC191,BG191,BD191,BG191,BE191,BG191,BF191)</f>
        <v>100000;;;;;;;;;</v>
      </c>
      <c r="AC191" s="248">
        <v>600002</v>
      </c>
      <c r="AD191" s="239">
        <v>20</v>
      </c>
      <c r="AE191" s="239"/>
      <c r="AF191" s="239"/>
      <c r="AG191" s="239"/>
      <c r="AH191" s="239"/>
      <c r="AI191" s="239"/>
      <c r="AJ191" s="239"/>
      <c r="AK191" s="239"/>
      <c r="AL191" s="239"/>
      <c r="AM191" s="248">
        <v>600002</v>
      </c>
      <c r="AN191" s="239"/>
      <c r="AO191" s="239"/>
      <c r="AP191" s="239"/>
      <c r="AQ191" s="239"/>
      <c r="AR191" s="239"/>
      <c r="AS191" s="239"/>
      <c r="AT191" s="239">
        <v>20</v>
      </c>
      <c r="AU191" s="239"/>
      <c r="AV191" s="239"/>
      <c r="AW191" s="239">
        <v>100000</v>
      </c>
      <c r="AX191" s="239"/>
      <c r="AY191" s="239"/>
      <c r="AZ191" s="239"/>
      <c r="BA191" s="239"/>
      <c r="BB191" s="239"/>
      <c r="BC191" s="239"/>
      <c r="BD191" s="239"/>
      <c r="BE191" s="239"/>
      <c r="BF191" s="239"/>
      <c r="BG191" s="239" t="s">
        <v>619</v>
      </c>
      <c r="BH191" s="239"/>
    </row>
    <row r="192" spans="1:60" s="202" customFormat="1" ht="20.100000000000001" customHeight="1">
      <c r="A192" s="239">
        <v>133105</v>
      </c>
      <c r="B192" s="239">
        <v>33</v>
      </c>
      <c r="C192" s="239">
        <v>1</v>
      </c>
      <c r="D192" s="239" t="s">
        <v>928</v>
      </c>
      <c r="E192" s="239"/>
      <c r="F192" s="244"/>
      <c r="G192" s="239" t="s">
        <v>929</v>
      </c>
      <c r="H192" s="207" t="s">
        <v>1214</v>
      </c>
      <c r="I192" s="207" t="s">
        <v>1214</v>
      </c>
      <c r="J192" s="207" t="s">
        <v>1215</v>
      </c>
      <c r="K192" s="207" t="s">
        <v>1215</v>
      </c>
      <c r="L192" s="239"/>
      <c r="M192" s="238" t="s">
        <v>906</v>
      </c>
      <c r="N192" s="238" t="s">
        <v>907</v>
      </c>
      <c r="O192" s="239" t="s">
        <v>908</v>
      </c>
      <c r="P192" s="239" t="s">
        <v>64</v>
      </c>
      <c r="Q192" s="238" t="s">
        <v>288</v>
      </c>
      <c r="R192" s="239"/>
      <c r="S192" s="239"/>
      <c r="T192" s="239"/>
      <c r="U192" s="239">
        <v>1</v>
      </c>
      <c r="V192" s="239"/>
      <c r="W192" s="239"/>
      <c r="X192" s="239"/>
      <c r="Y192" s="239"/>
      <c r="Z192" s="239"/>
      <c r="AA192" s="239"/>
      <c r="AB192" s="247" t="str">
        <f t="shared" si="21"/>
        <v>;;;;;;;3160100:300;;</v>
      </c>
      <c r="AC192" s="248">
        <v>600003</v>
      </c>
      <c r="AD192" s="239">
        <v>20</v>
      </c>
      <c r="AE192" s="239"/>
      <c r="AF192" s="239"/>
      <c r="AG192" s="239"/>
      <c r="AH192" s="239"/>
      <c r="AI192" s="239"/>
      <c r="AJ192" s="239"/>
      <c r="AK192" s="239"/>
      <c r="AL192" s="239"/>
      <c r="AM192" s="248">
        <v>600003</v>
      </c>
      <c r="AN192" s="239"/>
      <c r="AO192" s="239"/>
      <c r="AP192" s="239"/>
      <c r="AQ192" s="239"/>
      <c r="AR192" s="239"/>
      <c r="AS192" s="239"/>
      <c r="AT192" s="239">
        <v>20</v>
      </c>
      <c r="AU192" s="239"/>
      <c r="AV192" s="239"/>
      <c r="AW192" s="239"/>
      <c r="AX192" s="239"/>
      <c r="AY192" s="239"/>
      <c r="AZ192" s="239"/>
      <c r="BA192" s="239"/>
      <c r="BB192" s="239"/>
      <c r="BC192" s="239"/>
      <c r="BD192" s="249" t="s">
        <v>1084</v>
      </c>
      <c r="BE192" s="239"/>
      <c r="BF192" s="239"/>
      <c r="BG192" s="239" t="s">
        <v>619</v>
      </c>
      <c r="BH192" s="239"/>
    </row>
    <row r="193" spans="1:60" s="202" customFormat="1" ht="20.100000000000001" customHeight="1">
      <c r="A193" s="239">
        <v>133106</v>
      </c>
      <c r="B193" s="239">
        <v>33</v>
      </c>
      <c r="C193" s="239">
        <v>1</v>
      </c>
      <c r="D193" s="239" t="s">
        <v>930</v>
      </c>
      <c r="E193" s="239"/>
      <c r="F193" s="244"/>
      <c r="G193" s="239" t="s">
        <v>931</v>
      </c>
      <c r="H193" s="207" t="s">
        <v>1214</v>
      </c>
      <c r="I193" s="207" t="s">
        <v>1214</v>
      </c>
      <c r="J193" s="207" t="s">
        <v>1215</v>
      </c>
      <c r="K193" s="207" t="s">
        <v>1215</v>
      </c>
      <c r="L193" s="239"/>
      <c r="M193" s="238" t="s">
        <v>906</v>
      </c>
      <c r="N193" s="238" t="s">
        <v>907</v>
      </c>
      <c r="O193" s="239" t="s">
        <v>908</v>
      </c>
      <c r="P193" s="239" t="s">
        <v>64</v>
      </c>
      <c r="Q193" s="238" t="s">
        <v>288</v>
      </c>
      <c r="R193" s="239"/>
      <c r="S193" s="239"/>
      <c r="T193" s="239"/>
      <c r="U193" s="239">
        <v>1</v>
      </c>
      <c r="V193" s="239"/>
      <c r="W193" s="239"/>
      <c r="X193" s="239"/>
      <c r="Y193" s="239"/>
      <c r="Z193" s="239"/>
      <c r="AA193" s="239"/>
      <c r="AB193" s="247" t="str">
        <f t="shared" si="21"/>
        <v>;;;;;;;3090200:500;;</v>
      </c>
      <c r="AC193" s="248">
        <v>600004</v>
      </c>
      <c r="AD193" s="239">
        <v>20</v>
      </c>
      <c r="AE193" s="239"/>
      <c r="AF193" s="239"/>
      <c r="AG193" s="239"/>
      <c r="AH193" s="239"/>
      <c r="AI193" s="239"/>
      <c r="AJ193" s="239"/>
      <c r="AK193" s="239"/>
      <c r="AL193" s="239"/>
      <c r="AM193" s="248">
        <v>600004</v>
      </c>
      <c r="AN193" s="239"/>
      <c r="AO193" s="239"/>
      <c r="AP193" s="239"/>
      <c r="AQ193" s="239"/>
      <c r="AR193" s="239"/>
      <c r="AS193" s="239"/>
      <c r="AT193" s="239">
        <v>20</v>
      </c>
      <c r="AU193" s="239"/>
      <c r="AV193" s="239"/>
      <c r="AW193" s="239"/>
      <c r="AX193" s="239"/>
      <c r="AY193" s="239"/>
      <c r="AZ193" s="239"/>
      <c r="BA193" s="239"/>
      <c r="BB193" s="239"/>
      <c r="BC193" s="239"/>
      <c r="BD193" s="250" t="s">
        <v>932</v>
      </c>
      <c r="BE193" s="239"/>
      <c r="BF193" s="239"/>
      <c r="BG193" s="239" t="s">
        <v>619</v>
      </c>
      <c r="BH193" s="239"/>
    </row>
    <row r="194" spans="1:60" s="180" customFormat="1" ht="20.100000000000001" customHeight="1">
      <c r="A194" s="182">
        <v>134101</v>
      </c>
      <c r="B194" s="182">
        <v>34</v>
      </c>
      <c r="C194" s="182">
        <v>1</v>
      </c>
      <c r="D194" s="182" t="s">
        <v>933</v>
      </c>
      <c r="E194" s="182" t="s">
        <v>934</v>
      </c>
      <c r="F194" s="183"/>
      <c r="G194" s="182" t="s">
        <v>935</v>
      </c>
      <c r="H194" s="167" t="s">
        <v>1196</v>
      </c>
      <c r="I194" s="167" t="s">
        <v>1196</v>
      </c>
      <c r="J194" s="167" t="s">
        <v>1197</v>
      </c>
      <c r="K194" s="167" t="s">
        <v>1197</v>
      </c>
      <c r="L194" s="182"/>
      <c r="M194" s="172" t="s">
        <v>906</v>
      </c>
      <c r="N194" s="172" t="s">
        <v>907</v>
      </c>
      <c r="O194" s="182" t="s">
        <v>908</v>
      </c>
      <c r="P194" s="182" t="s">
        <v>64</v>
      </c>
      <c r="Q194" s="172" t="s">
        <v>617</v>
      </c>
      <c r="R194" s="182"/>
      <c r="S194" s="182"/>
      <c r="T194" s="182"/>
      <c r="U194" s="182">
        <v>1</v>
      </c>
      <c r="V194" s="182"/>
      <c r="W194" s="182"/>
      <c r="X194" s="182"/>
      <c r="Y194" s="182"/>
      <c r="Z194" s="182"/>
      <c r="AA194" s="182"/>
      <c r="AB194" s="174" t="str">
        <f t="shared" si="18"/>
        <v>;;;;;;;4040009:20|3120100:10|3160200:20;;</v>
      </c>
      <c r="AC194" s="182">
        <v>60</v>
      </c>
      <c r="AD194" s="182"/>
      <c r="AE194" s="182"/>
      <c r="AF194" s="182"/>
      <c r="AG194" s="182"/>
      <c r="AH194" s="182"/>
      <c r="AI194" s="182"/>
      <c r="AJ194" s="182"/>
      <c r="AK194" s="182"/>
      <c r="AL194" s="182"/>
      <c r="AM194" s="182"/>
      <c r="AN194" s="182"/>
      <c r="AO194" s="182"/>
      <c r="AP194" s="182"/>
      <c r="AQ194" s="182"/>
      <c r="AR194" s="182"/>
      <c r="AS194" s="182"/>
      <c r="AT194" s="182"/>
      <c r="AU194" s="182">
        <v>60</v>
      </c>
      <c r="AV194" s="182"/>
      <c r="AW194" s="182"/>
      <c r="AX194" s="182"/>
      <c r="AY194" s="182"/>
      <c r="AZ194" s="182"/>
      <c r="BA194" s="182"/>
      <c r="BB194" s="182"/>
      <c r="BC194" s="182"/>
      <c r="BD194" s="270" t="s">
        <v>1096</v>
      </c>
      <c r="BE194" s="182"/>
      <c r="BF194" s="182"/>
      <c r="BG194" s="182" t="s">
        <v>619</v>
      </c>
      <c r="BH194" s="182"/>
    </row>
    <row r="195" spans="1:60" s="202" customFormat="1" ht="20.100000000000001" customHeight="1">
      <c r="A195" s="239">
        <v>134102</v>
      </c>
      <c r="B195" s="239">
        <v>34</v>
      </c>
      <c r="C195" s="239">
        <v>1</v>
      </c>
      <c r="D195" s="239" t="s">
        <v>933</v>
      </c>
      <c r="E195" s="239" t="s">
        <v>934</v>
      </c>
      <c r="F195" s="244"/>
      <c r="G195" s="239" t="s">
        <v>935</v>
      </c>
      <c r="H195" s="207" t="s">
        <v>1214</v>
      </c>
      <c r="I195" s="207" t="s">
        <v>1214</v>
      </c>
      <c r="J195" s="207" t="s">
        <v>1215</v>
      </c>
      <c r="K195" s="207" t="s">
        <v>1215</v>
      </c>
      <c r="L195" s="239"/>
      <c r="M195" s="238" t="s">
        <v>906</v>
      </c>
      <c r="N195" s="238" t="s">
        <v>907</v>
      </c>
      <c r="O195" s="239" t="s">
        <v>908</v>
      </c>
      <c r="P195" s="239" t="s">
        <v>64</v>
      </c>
      <c r="Q195" s="238" t="s">
        <v>288</v>
      </c>
      <c r="R195" s="239"/>
      <c r="S195" s="239"/>
      <c r="T195" s="239"/>
      <c r="U195" s="239">
        <v>1</v>
      </c>
      <c r="V195" s="239"/>
      <c r="W195" s="239"/>
      <c r="X195" s="239"/>
      <c r="Y195" s="239"/>
      <c r="Z195" s="239"/>
      <c r="AA195" s="239"/>
      <c r="AB195" s="247" t="str">
        <f t="shared" ref="AB195" si="22">CONCATENATE(AW195,BG195,AX195,BG195,AY195,BG195,AZ195,BG195,BA195,BG195,BB195,BG195,BC195,BG195,BD195,BG195,BE195,BG195,BF195)</f>
        <v>;;;;;;;4040009:20|3120100:10|3160200:20;;</v>
      </c>
      <c r="AC195" s="239">
        <v>60</v>
      </c>
      <c r="AD195" s="239"/>
      <c r="AE195" s="239"/>
      <c r="AF195" s="239"/>
      <c r="AG195" s="239"/>
      <c r="AH195" s="239"/>
      <c r="AI195" s="239"/>
      <c r="AJ195" s="239"/>
      <c r="AK195" s="239"/>
      <c r="AL195" s="239"/>
      <c r="AM195" s="239"/>
      <c r="AN195" s="239"/>
      <c r="AO195" s="239"/>
      <c r="AP195" s="239"/>
      <c r="AQ195" s="239"/>
      <c r="AR195" s="239"/>
      <c r="AS195" s="239"/>
      <c r="AT195" s="239"/>
      <c r="AU195" s="239">
        <v>60</v>
      </c>
      <c r="AV195" s="239"/>
      <c r="AW195" s="239"/>
      <c r="AX195" s="239"/>
      <c r="AY195" s="239"/>
      <c r="AZ195" s="239"/>
      <c r="BA195" s="239"/>
      <c r="BB195" s="239"/>
      <c r="BC195" s="239"/>
      <c r="BD195" s="269" t="s">
        <v>1096</v>
      </c>
      <c r="BE195" s="239"/>
      <c r="BF195" s="239"/>
      <c r="BG195" s="239" t="s">
        <v>619</v>
      </c>
      <c r="BH195" s="239"/>
    </row>
    <row r="196" spans="1:60" ht="20.100000000000001" customHeight="1">
      <c r="A196" s="76">
        <v>135001</v>
      </c>
      <c r="B196" s="76">
        <v>35</v>
      </c>
      <c r="C196" s="76">
        <v>0</v>
      </c>
      <c r="D196" s="76" t="s">
        <v>936</v>
      </c>
      <c r="E196" s="76" t="s">
        <v>937</v>
      </c>
      <c r="F196" s="81"/>
      <c r="G196" s="74" t="s">
        <v>680</v>
      </c>
      <c r="H196" s="93" t="s">
        <v>681</v>
      </c>
      <c r="I196" s="93" t="s">
        <v>681</v>
      </c>
      <c r="J196" s="93" t="s">
        <v>616</v>
      </c>
      <c r="K196" s="93" t="s">
        <v>616</v>
      </c>
      <c r="L196" s="76"/>
      <c r="M196" s="94" t="s">
        <v>1102</v>
      </c>
      <c r="N196" s="94" t="s">
        <v>1103</v>
      </c>
      <c r="O196" s="74" t="s">
        <v>63</v>
      </c>
      <c r="P196" s="76" t="s">
        <v>1105</v>
      </c>
      <c r="Q196" s="94" t="s">
        <v>617</v>
      </c>
      <c r="R196" s="76">
        <v>1206</v>
      </c>
      <c r="S196" s="76"/>
      <c r="T196" s="76"/>
      <c r="U196" s="76">
        <v>0</v>
      </c>
      <c r="V196" s="76">
        <v>0</v>
      </c>
      <c r="W196" s="76" t="s">
        <v>938</v>
      </c>
      <c r="X196" s="76"/>
      <c r="Y196" s="76"/>
      <c r="Z196" s="76"/>
      <c r="AA196" s="76"/>
      <c r="AB196" s="123" t="str">
        <f t="shared" si="18"/>
        <v>;;;;;;;;;</v>
      </c>
      <c r="AC196" s="74">
        <f>AK196</f>
        <v>0</v>
      </c>
      <c r="AD196" s="74"/>
      <c r="AE196" s="74"/>
      <c r="AF196" s="74"/>
      <c r="AG196" s="74"/>
      <c r="AH196" s="74"/>
      <c r="AI196" s="74"/>
      <c r="AJ196" s="74"/>
      <c r="AK196" s="74"/>
      <c r="AL196" s="74"/>
      <c r="AM196" s="74"/>
      <c r="AN196" s="74"/>
      <c r="AO196" s="74"/>
      <c r="AP196" s="74"/>
      <c r="AQ196" s="74"/>
      <c r="AR196" s="74"/>
      <c r="AS196" s="74"/>
      <c r="AT196" s="74"/>
      <c r="AU196" s="74"/>
      <c r="AV196" s="74"/>
      <c r="AW196" s="74"/>
      <c r="AX196" s="74"/>
      <c r="AY196" s="74"/>
      <c r="AZ196" s="74"/>
      <c r="BA196" s="74"/>
      <c r="BB196" s="74"/>
      <c r="BC196" s="74"/>
      <c r="BD196" s="74"/>
      <c r="BE196" s="74"/>
      <c r="BF196" s="74"/>
      <c r="BG196" s="74" t="s">
        <v>619</v>
      </c>
      <c r="BH196" s="74"/>
    </row>
    <row r="197" spans="1:60" ht="20.100000000000001" customHeight="1">
      <c r="A197" s="76">
        <v>135002</v>
      </c>
      <c r="B197" s="76">
        <v>35</v>
      </c>
      <c r="C197" s="76">
        <v>0</v>
      </c>
      <c r="D197" s="76" t="s">
        <v>936</v>
      </c>
      <c r="E197" s="76" t="s">
        <v>937</v>
      </c>
      <c r="F197" s="81"/>
      <c r="G197" s="74" t="s">
        <v>282</v>
      </c>
      <c r="H197" s="93" t="s">
        <v>293</v>
      </c>
      <c r="I197" s="93" t="s">
        <v>293</v>
      </c>
      <c r="J197" s="93" t="s">
        <v>284</v>
      </c>
      <c r="K197" s="93" t="s">
        <v>284</v>
      </c>
      <c r="L197" s="76"/>
      <c r="M197" s="94" t="s">
        <v>773</v>
      </c>
      <c r="N197" s="94" t="s">
        <v>1104</v>
      </c>
      <c r="O197" s="74" t="s">
        <v>63</v>
      </c>
      <c r="P197" s="76" t="s">
        <v>1106</v>
      </c>
      <c r="Q197" s="94" t="s">
        <v>288</v>
      </c>
      <c r="R197" s="76">
        <v>1206</v>
      </c>
      <c r="S197" s="76"/>
      <c r="T197" s="76"/>
      <c r="U197" s="76">
        <v>0</v>
      </c>
      <c r="V197" s="76">
        <v>0</v>
      </c>
      <c r="W197" s="76" t="s">
        <v>938</v>
      </c>
      <c r="X197" s="76"/>
      <c r="Y197" s="76"/>
      <c r="Z197" s="76"/>
      <c r="AA197" s="76"/>
      <c r="AB197" s="123" t="str">
        <f t="shared" ref="AB197" si="23">CONCATENATE(AW197,BG197,AX197,BG197,AY197,BG197,AZ197,BG197,BA197,BG197,BB197,BG197,BC197,BG197,BD197,BG197,BE197,BG197,BF197)</f>
        <v>;;;;;;;;;</v>
      </c>
      <c r="AC197" s="74">
        <f>AK197</f>
        <v>0</v>
      </c>
      <c r="AD197" s="74"/>
      <c r="AE197" s="74"/>
      <c r="AF197" s="74"/>
      <c r="AG197" s="74"/>
      <c r="AH197" s="74"/>
      <c r="AI197" s="74"/>
      <c r="AJ197" s="74"/>
      <c r="AK197" s="74"/>
      <c r="AL197" s="74"/>
      <c r="AM197" s="74"/>
      <c r="AN197" s="74"/>
      <c r="AO197" s="74"/>
      <c r="AP197" s="74"/>
      <c r="AQ197" s="74"/>
      <c r="AR197" s="74"/>
      <c r="AS197" s="74"/>
      <c r="AT197" s="74"/>
      <c r="AU197" s="74"/>
      <c r="AV197" s="74"/>
      <c r="AW197" s="74"/>
      <c r="AX197" s="74"/>
      <c r="AY197" s="74"/>
      <c r="AZ197" s="74"/>
      <c r="BA197" s="74"/>
      <c r="BB197" s="74"/>
      <c r="BC197" s="74"/>
      <c r="BD197" s="74"/>
      <c r="BE197" s="74"/>
      <c r="BF197" s="74"/>
      <c r="BG197" s="74" t="s">
        <v>619</v>
      </c>
      <c r="BH197" s="74"/>
    </row>
    <row r="198" spans="1:60" s="180" customFormat="1" ht="20.100000000000001" customHeight="1">
      <c r="A198" s="167" t="s">
        <v>939</v>
      </c>
      <c r="B198" s="168">
        <v>36</v>
      </c>
      <c r="C198" s="168">
        <v>1</v>
      </c>
      <c r="D198" s="169" t="s">
        <v>940</v>
      </c>
      <c r="E198" s="167" t="s">
        <v>941</v>
      </c>
      <c r="F198" s="170" t="str">
        <f>"累计消费"&amp;AC198&amp;"钻即可获得奖励"</f>
        <v>累计消费1000钻即可获得奖励</v>
      </c>
      <c r="G198" s="171" t="s">
        <v>942</v>
      </c>
      <c r="H198" s="167" t="s">
        <v>1223</v>
      </c>
      <c r="I198" s="167" t="s">
        <v>1223</v>
      </c>
      <c r="J198" s="167" t="s">
        <v>1224</v>
      </c>
      <c r="K198" s="167" t="s">
        <v>1224</v>
      </c>
      <c r="L198" s="167"/>
      <c r="M198" s="167" t="s">
        <v>61</v>
      </c>
      <c r="N198" s="167" t="s">
        <v>62</v>
      </c>
      <c r="O198" s="168" t="s">
        <v>63</v>
      </c>
      <c r="P198" s="168" t="s">
        <v>64</v>
      </c>
      <c r="Q198" s="167" t="s">
        <v>617</v>
      </c>
      <c r="R198" s="173"/>
      <c r="S198" s="167"/>
      <c r="T198" s="168"/>
      <c r="U198" s="168">
        <v>1</v>
      </c>
      <c r="V198" s="168">
        <v>0</v>
      </c>
      <c r="W198" s="168"/>
      <c r="X198" s="168" t="s">
        <v>65</v>
      </c>
      <c r="Y198" s="168"/>
      <c r="Z198" s="168"/>
      <c r="AA198" s="168"/>
      <c r="AB198" s="174" t="str">
        <f t="shared" si="18"/>
        <v>100000;;;;;;;3170000:2|3090200:100;;</v>
      </c>
      <c r="AC198" s="175">
        <v>1000</v>
      </c>
      <c r="AD198" s="176"/>
      <c r="AE198" s="168"/>
      <c r="AF198" s="168"/>
      <c r="AG198" s="168"/>
      <c r="AH198" s="168"/>
      <c r="AI198" s="175">
        <v>1000</v>
      </c>
      <c r="AJ198" s="168"/>
      <c r="AK198" s="168"/>
      <c r="AL198" s="168"/>
      <c r="AM198" s="176"/>
      <c r="AN198" s="176"/>
      <c r="AO198" s="176"/>
      <c r="AP198" s="176"/>
      <c r="AQ198" s="176"/>
      <c r="AR198" s="176"/>
      <c r="AS198" s="176"/>
      <c r="AT198" s="176"/>
      <c r="AU198" s="177"/>
      <c r="AV198" s="177"/>
      <c r="AW198" s="178" t="s">
        <v>1065</v>
      </c>
      <c r="AX198" s="178"/>
      <c r="AY198" s="178"/>
      <c r="AZ198" s="178"/>
      <c r="BA198" s="178"/>
      <c r="BB198" s="178"/>
      <c r="BC198" s="178"/>
      <c r="BD198" s="178" t="s">
        <v>1070</v>
      </c>
      <c r="BE198" s="179"/>
      <c r="BF198" s="179"/>
      <c r="BG198" s="168" t="s">
        <v>619</v>
      </c>
      <c r="BH198" s="168"/>
    </row>
    <row r="199" spans="1:60" s="180" customFormat="1" ht="20.100000000000001" customHeight="1">
      <c r="A199" s="167" t="s">
        <v>943</v>
      </c>
      <c r="B199" s="168">
        <v>36</v>
      </c>
      <c r="C199" s="168">
        <v>1</v>
      </c>
      <c r="D199" s="169" t="s">
        <v>940</v>
      </c>
      <c r="E199" s="167" t="s">
        <v>941</v>
      </c>
      <c r="F199" s="170" t="str">
        <f t="shared" ref="F199:F203" si="24">"累计消费"&amp;AC199&amp;"钻即可获得奖励"</f>
        <v>累计消费2000钻即可获得奖励</v>
      </c>
      <c r="G199" s="171" t="s">
        <v>942</v>
      </c>
      <c r="H199" s="167" t="s">
        <v>1223</v>
      </c>
      <c r="I199" s="167" t="s">
        <v>1223</v>
      </c>
      <c r="J199" s="167" t="s">
        <v>1224</v>
      </c>
      <c r="K199" s="167" t="s">
        <v>1224</v>
      </c>
      <c r="L199" s="167"/>
      <c r="M199" s="167" t="s">
        <v>61</v>
      </c>
      <c r="N199" s="167" t="s">
        <v>62</v>
      </c>
      <c r="O199" s="168" t="s">
        <v>63</v>
      </c>
      <c r="P199" s="168" t="s">
        <v>64</v>
      </c>
      <c r="Q199" s="167" t="s">
        <v>617</v>
      </c>
      <c r="R199" s="173"/>
      <c r="S199" s="167"/>
      <c r="T199" s="168"/>
      <c r="U199" s="168">
        <v>1</v>
      </c>
      <c r="V199" s="168">
        <v>0</v>
      </c>
      <c r="W199" s="168"/>
      <c r="X199" s="168" t="s">
        <v>65</v>
      </c>
      <c r="Y199" s="168"/>
      <c r="Z199" s="168"/>
      <c r="AA199" s="168"/>
      <c r="AB199" s="174" t="str">
        <f t="shared" si="18"/>
        <v>200000;;;;;;;3170000:4|3090200:200|1101400:1|1102400:1|1103400:1|1104400:1|1105400:1|1106400:1;;</v>
      </c>
      <c r="AC199" s="175">
        <v>2000</v>
      </c>
      <c r="AD199" s="176"/>
      <c r="AE199" s="168"/>
      <c r="AF199" s="168"/>
      <c r="AG199" s="168"/>
      <c r="AH199" s="168"/>
      <c r="AI199" s="175">
        <v>2000</v>
      </c>
      <c r="AJ199" s="168"/>
      <c r="AK199" s="168"/>
      <c r="AL199" s="168"/>
      <c r="AM199" s="176"/>
      <c r="AN199" s="176"/>
      <c r="AO199" s="176"/>
      <c r="AP199" s="176"/>
      <c r="AQ199" s="176"/>
      <c r="AR199" s="176"/>
      <c r="AS199" s="176"/>
      <c r="AT199" s="176"/>
      <c r="AU199" s="177"/>
      <c r="AV199" s="177"/>
      <c r="AW199" s="178" t="s">
        <v>1060</v>
      </c>
      <c r="AX199" s="178"/>
      <c r="AY199" s="178"/>
      <c r="AZ199" s="178"/>
      <c r="BA199" s="178"/>
      <c r="BB199" s="178"/>
      <c r="BC199" s="178"/>
      <c r="BD199" s="178" t="s">
        <v>1066</v>
      </c>
      <c r="BE199" s="179"/>
      <c r="BF199" s="179"/>
      <c r="BG199" s="168" t="s">
        <v>619</v>
      </c>
      <c r="BH199" s="168"/>
    </row>
    <row r="200" spans="1:60" s="180" customFormat="1" ht="20.100000000000001" customHeight="1">
      <c r="A200" s="167" t="s">
        <v>944</v>
      </c>
      <c r="B200" s="168">
        <v>36</v>
      </c>
      <c r="C200" s="168">
        <v>1</v>
      </c>
      <c r="D200" s="169" t="s">
        <v>940</v>
      </c>
      <c r="E200" s="167" t="s">
        <v>941</v>
      </c>
      <c r="F200" s="170" t="str">
        <f t="shared" si="24"/>
        <v>累计消费6000钻即可获得奖励</v>
      </c>
      <c r="G200" s="171" t="s">
        <v>942</v>
      </c>
      <c r="H200" s="167" t="s">
        <v>1223</v>
      </c>
      <c r="I200" s="167" t="s">
        <v>1223</v>
      </c>
      <c r="J200" s="167" t="s">
        <v>1224</v>
      </c>
      <c r="K200" s="167" t="s">
        <v>1224</v>
      </c>
      <c r="L200" s="167"/>
      <c r="M200" s="167" t="s">
        <v>61</v>
      </c>
      <c r="N200" s="167" t="s">
        <v>62</v>
      </c>
      <c r="O200" s="168" t="s">
        <v>63</v>
      </c>
      <c r="P200" s="168" t="s">
        <v>64</v>
      </c>
      <c r="Q200" s="167" t="s">
        <v>617</v>
      </c>
      <c r="R200" s="173"/>
      <c r="S200" s="167"/>
      <c r="T200" s="168"/>
      <c r="U200" s="168">
        <v>1</v>
      </c>
      <c r="V200" s="168">
        <v>0</v>
      </c>
      <c r="W200" s="168"/>
      <c r="X200" s="168" t="s">
        <v>65</v>
      </c>
      <c r="Y200" s="168"/>
      <c r="Z200" s="168"/>
      <c r="AA200" s="168"/>
      <c r="AB200" s="174" t="str">
        <f>CONCATENATE(AW200,BG200,AX200,BG200,AY200,BG200,AZ200,BG200,BA200,BG200,BB200,BG200,BC200,BG200,BD200,BG200,BE200,BG200,BF200)</f>
        <v>300000;;;;;;;3170000:6|3090200:400|3120100:100|1101501:1|1102501:1|1103501:1|1104501:1|1105501:1|1106501:1;;</v>
      </c>
      <c r="AC200" s="175">
        <v>6000</v>
      </c>
      <c r="AD200" s="176"/>
      <c r="AE200" s="168"/>
      <c r="AF200" s="168"/>
      <c r="AG200" s="168"/>
      <c r="AH200" s="168"/>
      <c r="AI200" s="175">
        <v>6000</v>
      </c>
      <c r="AJ200" s="168"/>
      <c r="AK200" s="168"/>
      <c r="AL200" s="168"/>
      <c r="AM200" s="176"/>
      <c r="AN200" s="176"/>
      <c r="AO200" s="176"/>
      <c r="AP200" s="176"/>
      <c r="AQ200" s="176"/>
      <c r="AR200" s="176"/>
      <c r="AS200" s="176"/>
      <c r="AT200" s="176"/>
      <c r="AU200" s="177"/>
      <c r="AV200" s="177"/>
      <c r="AW200" s="178" t="s">
        <v>1061</v>
      </c>
      <c r="AX200" s="178"/>
      <c r="AZ200" s="178"/>
      <c r="BA200" s="178"/>
      <c r="BB200" s="178"/>
      <c r="BC200" s="178"/>
      <c r="BD200" s="178" t="s">
        <v>1067</v>
      </c>
      <c r="BE200" s="179"/>
      <c r="BF200" s="179"/>
      <c r="BG200" s="168" t="s">
        <v>619</v>
      </c>
      <c r="BH200" s="168"/>
    </row>
    <row r="201" spans="1:60" s="180" customFormat="1" ht="20.100000000000001" customHeight="1">
      <c r="A201" s="167" t="s">
        <v>945</v>
      </c>
      <c r="B201" s="168">
        <v>36</v>
      </c>
      <c r="C201" s="168">
        <v>1</v>
      </c>
      <c r="D201" s="169" t="s">
        <v>940</v>
      </c>
      <c r="E201" s="167" t="s">
        <v>941</v>
      </c>
      <c r="F201" s="170" t="str">
        <f t="shared" si="24"/>
        <v>累计消费12000钻即可获得奖励</v>
      </c>
      <c r="G201" s="171" t="s">
        <v>942</v>
      </c>
      <c r="H201" s="167" t="s">
        <v>1223</v>
      </c>
      <c r="I201" s="167" t="s">
        <v>1223</v>
      </c>
      <c r="J201" s="167" t="s">
        <v>1224</v>
      </c>
      <c r="K201" s="167" t="s">
        <v>1224</v>
      </c>
      <c r="L201" s="167"/>
      <c r="M201" s="167" t="s">
        <v>61</v>
      </c>
      <c r="N201" s="167" t="s">
        <v>62</v>
      </c>
      <c r="O201" s="168" t="s">
        <v>63</v>
      </c>
      <c r="P201" s="168" t="s">
        <v>64</v>
      </c>
      <c r="Q201" s="167" t="s">
        <v>617</v>
      </c>
      <c r="R201" s="173"/>
      <c r="S201" s="167"/>
      <c r="T201" s="168"/>
      <c r="U201" s="168">
        <v>1</v>
      </c>
      <c r="V201" s="168">
        <v>0</v>
      </c>
      <c r="W201" s="168"/>
      <c r="X201" s="168" t="s">
        <v>65</v>
      </c>
      <c r="Y201" s="168"/>
      <c r="Z201" s="168"/>
      <c r="AA201" s="168"/>
      <c r="AB201" s="174" t="str">
        <f>CONCATENATE(AW201,BG201,AX201,BG201,AY201,BG201,AZ201,BG201,BA201,BG201,BB201,BG201,BC201,BG201,BD201,BG201,BE201,BG201,BF201)</f>
        <v>;;3000;;;;;3020203:2|3090400:200|3120300:100|1101500:1|1102500:1|1103500:1|1104500:1|1105500:1|1106500:1;;</v>
      </c>
      <c r="AC201" s="175">
        <v>12000</v>
      </c>
      <c r="AD201" s="176"/>
      <c r="AE201" s="168"/>
      <c r="AF201" s="168"/>
      <c r="AG201" s="168"/>
      <c r="AH201" s="168"/>
      <c r="AI201" s="175">
        <v>12000</v>
      </c>
      <c r="AJ201" s="168"/>
      <c r="AK201" s="168"/>
      <c r="AL201" s="168"/>
      <c r="AM201" s="176"/>
      <c r="AN201" s="176"/>
      <c r="AO201" s="176"/>
      <c r="AP201" s="176"/>
      <c r="AQ201" s="176"/>
      <c r="AR201" s="176"/>
      <c r="AS201" s="176"/>
      <c r="AT201" s="176"/>
      <c r="AU201" s="177"/>
      <c r="AV201" s="177"/>
      <c r="AW201" s="178"/>
      <c r="AX201" s="178"/>
      <c r="AY201" s="178" t="s">
        <v>1062</v>
      </c>
      <c r="AZ201" s="178"/>
      <c r="BA201" s="178"/>
      <c r="BB201" s="178"/>
      <c r="BC201" s="178"/>
      <c r="BD201" s="178" t="s">
        <v>1068</v>
      </c>
      <c r="BE201" s="179"/>
      <c r="BF201" s="179"/>
      <c r="BG201" s="168" t="s">
        <v>619</v>
      </c>
      <c r="BH201" s="168"/>
    </row>
    <row r="202" spans="1:60" s="180" customFormat="1" ht="20.100000000000001" customHeight="1">
      <c r="A202" s="167" t="s">
        <v>946</v>
      </c>
      <c r="B202" s="168">
        <v>36</v>
      </c>
      <c r="C202" s="168">
        <v>1</v>
      </c>
      <c r="D202" s="169" t="s">
        <v>940</v>
      </c>
      <c r="E202" s="167" t="s">
        <v>941</v>
      </c>
      <c r="F202" s="170" t="str">
        <f t="shared" si="24"/>
        <v>累计消费20000钻即可获得奖励</v>
      </c>
      <c r="G202" s="171" t="s">
        <v>942</v>
      </c>
      <c r="H202" s="167" t="s">
        <v>1223</v>
      </c>
      <c r="I202" s="167" t="s">
        <v>1223</v>
      </c>
      <c r="J202" s="167" t="s">
        <v>1224</v>
      </c>
      <c r="K202" s="167" t="s">
        <v>1224</v>
      </c>
      <c r="L202" s="167"/>
      <c r="M202" s="167" t="s">
        <v>61</v>
      </c>
      <c r="N202" s="167" t="s">
        <v>62</v>
      </c>
      <c r="O202" s="168" t="s">
        <v>63</v>
      </c>
      <c r="P202" s="168" t="s">
        <v>64</v>
      </c>
      <c r="Q202" s="167" t="s">
        <v>617</v>
      </c>
      <c r="R202" s="173"/>
      <c r="S202" s="167"/>
      <c r="T202" s="168"/>
      <c r="U202" s="168">
        <v>1</v>
      </c>
      <c r="V202" s="168">
        <v>0</v>
      </c>
      <c r="W202" s="168"/>
      <c r="X202" s="168" t="s">
        <v>65</v>
      </c>
      <c r="Y202" s="168"/>
      <c r="Z202" s="168"/>
      <c r="AA202" s="168"/>
      <c r="AB202" s="174" t="str">
        <f>CONCATENATE(AW202,BG202,AX202,BG202,AY202,BG202,AZ202,BG202,BA202,BG202,BB202,BG202,BC202,BG202,BD202,BG202,BE202,BG202,BF202)</f>
        <v>;;6000;;;;;3020204:2|3090400:400|3120300:200|1101506:1|1102506:1|1103506:1|1104506:1|1105506:1|1106506:1;;</v>
      </c>
      <c r="AC202" s="175">
        <v>20000</v>
      </c>
      <c r="AD202" s="176"/>
      <c r="AE202" s="168"/>
      <c r="AF202" s="168"/>
      <c r="AG202" s="168"/>
      <c r="AH202" s="168"/>
      <c r="AI202" s="175">
        <v>20000</v>
      </c>
      <c r="AJ202" s="168"/>
      <c r="AK202" s="168"/>
      <c r="AL202" s="168"/>
      <c r="AM202" s="176"/>
      <c r="AN202" s="176"/>
      <c r="AO202" s="176"/>
      <c r="AP202" s="176"/>
      <c r="AQ202" s="176"/>
      <c r="AR202" s="176"/>
      <c r="AS202" s="176"/>
      <c r="AT202" s="176"/>
      <c r="AU202" s="177"/>
      <c r="AV202" s="177"/>
      <c r="AW202" s="178"/>
      <c r="AX202" s="178"/>
      <c r="AY202" s="178" t="s">
        <v>1063</v>
      </c>
      <c r="AZ202" s="178"/>
      <c r="BA202" s="178"/>
      <c r="BB202" s="178"/>
      <c r="BC202" s="178"/>
      <c r="BD202" s="178" t="s">
        <v>1069</v>
      </c>
      <c r="BE202" s="179"/>
      <c r="BF202" s="179"/>
      <c r="BG202" s="168" t="s">
        <v>619</v>
      </c>
      <c r="BH202" s="168"/>
    </row>
    <row r="203" spans="1:60" s="180" customFormat="1" ht="20.100000000000001" customHeight="1">
      <c r="A203" s="167" t="s">
        <v>947</v>
      </c>
      <c r="B203" s="168">
        <v>36</v>
      </c>
      <c r="C203" s="168">
        <v>1</v>
      </c>
      <c r="D203" s="169" t="s">
        <v>940</v>
      </c>
      <c r="E203" s="167" t="s">
        <v>941</v>
      </c>
      <c r="F203" s="170" t="str">
        <f t="shared" si="24"/>
        <v>累计消费30000钻即可获得奖励</v>
      </c>
      <c r="G203" s="171" t="s">
        <v>942</v>
      </c>
      <c r="H203" s="167" t="s">
        <v>1223</v>
      </c>
      <c r="I203" s="167" t="s">
        <v>1223</v>
      </c>
      <c r="J203" s="167" t="s">
        <v>1224</v>
      </c>
      <c r="K203" s="167" t="s">
        <v>1224</v>
      </c>
      <c r="L203" s="167"/>
      <c r="M203" s="167" t="s">
        <v>61</v>
      </c>
      <c r="N203" s="167" t="s">
        <v>62</v>
      </c>
      <c r="O203" s="168" t="s">
        <v>63</v>
      </c>
      <c r="P203" s="168" t="s">
        <v>64</v>
      </c>
      <c r="Q203" s="167" t="s">
        <v>617</v>
      </c>
      <c r="R203" s="173"/>
      <c r="S203" s="167"/>
      <c r="T203" s="168"/>
      <c r="U203" s="168">
        <v>1</v>
      </c>
      <c r="V203" s="168">
        <v>0</v>
      </c>
      <c r="W203" s="168"/>
      <c r="X203" s="168" t="s">
        <v>65</v>
      </c>
      <c r="Y203" s="168"/>
      <c r="Z203" s="168"/>
      <c r="AA203" s="168"/>
      <c r="AB203" s="174" t="str">
        <f>CONCATENATE(AW203,BG203,AX203,BG203,AY203,BG203,AZ203,BG203,BA203,BG203,BB203,BG203,BC203,BG203,BD203,BG203,BE203,BG203,BF203)</f>
        <v>;;9000;;;;;3020205:2|3120100:200|3120300:200|1101502:1|1102502:1|1103502:1|1104502:1|1105502:1|1106502:1;;</v>
      </c>
      <c r="AC203" s="175">
        <v>30000</v>
      </c>
      <c r="AD203" s="176"/>
      <c r="AE203" s="168"/>
      <c r="AF203" s="168"/>
      <c r="AG203" s="168"/>
      <c r="AH203" s="168"/>
      <c r="AI203" s="175">
        <v>30000</v>
      </c>
      <c r="AJ203" s="168"/>
      <c r="AK203" s="168"/>
      <c r="AL203" s="168"/>
      <c r="AM203" s="176"/>
      <c r="AN203" s="176"/>
      <c r="AO203" s="176"/>
      <c r="AP203" s="176"/>
      <c r="AQ203" s="176"/>
      <c r="AR203" s="176"/>
      <c r="AS203" s="176"/>
      <c r="AT203" s="176"/>
      <c r="AU203" s="177"/>
      <c r="AV203" s="177"/>
      <c r="AW203" s="178"/>
      <c r="AX203" s="178"/>
      <c r="AY203" s="178" t="s">
        <v>1064</v>
      </c>
      <c r="AZ203" s="178"/>
      <c r="BA203" s="178"/>
      <c r="BB203" s="178"/>
      <c r="BC203" s="178"/>
      <c r="BD203" s="178" t="s">
        <v>1127</v>
      </c>
      <c r="BE203" s="179"/>
      <c r="BF203" s="179"/>
      <c r="BG203" s="168" t="s">
        <v>619</v>
      </c>
      <c r="BH203" s="168"/>
    </row>
    <row r="204" spans="1:60" s="202" customFormat="1" ht="20.100000000000001" customHeight="1">
      <c r="A204" s="207" t="s">
        <v>1158</v>
      </c>
      <c r="B204" s="201">
        <v>36</v>
      </c>
      <c r="C204" s="201">
        <v>1</v>
      </c>
      <c r="D204" s="208" t="s">
        <v>940</v>
      </c>
      <c r="E204" s="207" t="s">
        <v>941</v>
      </c>
      <c r="F204" s="266" t="str">
        <f>"累计消费"&amp;AC204&amp;"钻即可获得奖励"</f>
        <v>累计消费1000钻即可获得奖励</v>
      </c>
      <c r="G204" s="199" t="s">
        <v>942</v>
      </c>
      <c r="H204" s="207" t="s">
        <v>1200</v>
      </c>
      <c r="I204" s="207" t="s">
        <v>1200</v>
      </c>
      <c r="J204" s="207" t="s">
        <v>1225</v>
      </c>
      <c r="K204" s="207" t="s">
        <v>1225</v>
      </c>
      <c r="L204" s="207"/>
      <c r="M204" s="207" t="s">
        <v>61</v>
      </c>
      <c r="N204" s="207" t="s">
        <v>62</v>
      </c>
      <c r="O204" s="201" t="s">
        <v>63</v>
      </c>
      <c r="P204" s="201" t="s">
        <v>64</v>
      </c>
      <c r="Q204" s="207" t="s">
        <v>273</v>
      </c>
      <c r="R204" s="210"/>
      <c r="S204" s="207"/>
      <c r="T204" s="201"/>
      <c r="U204" s="201">
        <v>1</v>
      </c>
      <c r="V204" s="201">
        <v>0</v>
      </c>
      <c r="W204" s="201"/>
      <c r="X204" s="201" t="s">
        <v>65</v>
      </c>
      <c r="Y204" s="201"/>
      <c r="Z204" s="201"/>
      <c r="AA204" s="201"/>
      <c r="AB204" s="247" t="str">
        <f t="shared" ref="AB204:AB205" si="25">CONCATENATE(AW204,BG204,AX204,BG204,AY204,BG204,AZ204,BG204,BA204,BG204,BB204,BG204,BC204,BG204,BD204,BG204,BE204,BG204,BF204)</f>
        <v>100000;;;;;;;3170000:2|3090200:100;;</v>
      </c>
      <c r="AC204" s="267">
        <v>1000</v>
      </c>
      <c r="AD204" s="212"/>
      <c r="AE204" s="201"/>
      <c r="AF204" s="201"/>
      <c r="AG204" s="201"/>
      <c r="AH204" s="201"/>
      <c r="AI204" s="267">
        <v>1000</v>
      </c>
      <c r="AJ204" s="201"/>
      <c r="AK204" s="201"/>
      <c r="AL204" s="201"/>
      <c r="AM204" s="212"/>
      <c r="AN204" s="212"/>
      <c r="AO204" s="212"/>
      <c r="AP204" s="212"/>
      <c r="AQ204" s="212"/>
      <c r="AR204" s="212"/>
      <c r="AS204" s="212"/>
      <c r="AT204" s="212"/>
      <c r="AU204" s="268"/>
      <c r="AV204" s="268"/>
      <c r="AW204" s="236" t="s">
        <v>1065</v>
      </c>
      <c r="AX204" s="236"/>
      <c r="AY204" s="236"/>
      <c r="AZ204" s="236"/>
      <c r="BA204" s="236"/>
      <c r="BB204" s="236"/>
      <c r="BC204" s="236"/>
      <c r="BD204" s="236" t="s">
        <v>1070</v>
      </c>
      <c r="BE204" s="214"/>
      <c r="BF204" s="214"/>
      <c r="BG204" s="201" t="s">
        <v>619</v>
      </c>
      <c r="BH204" s="201"/>
    </row>
    <row r="205" spans="1:60" s="202" customFormat="1" ht="20.100000000000001" customHeight="1">
      <c r="A205" s="207" t="s">
        <v>1159</v>
      </c>
      <c r="B205" s="201">
        <v>36</v>
      </c>
      <c r="C205" s="201">
        <v>1</v>
      </c>
      <c r="D205" s="208" t="s">
        <v>940</v>
      </c>
      <c r="E205" s="207" t="s">
        <v>941</v>
      </c>
      <c r="F205" s="266" t="str">
        <f t="shared" ref="F205:F209" si="26">"累计消费"&amp;AC205&amp;"钻即可获得奖励"</f>
        <v>累计消费2000钻即可获得奖励</v>
      </c>
      <c r="G205" s="199" t="s">
        <v>942</v>
      </c>
      <c r="H205" s="207" t="s">
        <v>1200</v>
      </c>
      <c r="I205" s="207" t="s">
        <v>1200</v>
      </c>
      <c r="J205" s="207" t="s">
        <v>1225</v>
      </c>
      <c r="K205" s="207" t="s">
        <v>1225</v>
      </c>
      <c r="L205" s="207"/>
      <c r="M205" s="207" t="s">
        <v>61</v>
      </c>
      <c r="N205" s="207" t="s">
        <v>62</v>
      </c>
      <c r="O205" s="201" t="s">
        <v>63</v>
      </c>
      <c r="P205" s="201" t="s">
        <v>64</v>
      </c>
      <c r="Q205" s="207" t="s">
        <v>273</v>
      </c>
      <c r="R205" s="210"/>
      <c r="S205" s="207"/>
      <c r="T205" s="201"/>
      <c r="U205" s="201">
        <v>1</v>
      </c>
      <c r="V205" s="201">
        <v>0</v>
      </c>
      <c r="W205" s="201"/>
      <c r="X205" s="201" t="s">
        <v>65</v>
      </c>
      <c r="Y205" s="201"/>
      <c r="Z205" s="201"/>
      <c r="AA205" s="201"/>
      <c r="AB205" s="247" t="str">
        <f t="shared" si="25"/>
        <v>200000;;;;;;;3170000:4|3090200:200|1101400:1|1102400:1|1103400:1|1104400:1|1105400:1|1106400:1;;</v>
      </c>
      <c r="AC205" s="267">
        <v>2000</v>
      </c>
      <c r="AD205" s="212"/>
      <c r="AE205" s="201"/>
      <c r="AF205" s="201"/>
      <c r="AG205" s="201"/>
      <c r="AH205" s="201"/>
      <c r="AI205" s="267">
        <v>2000</v>
      </c>
      <c r="AJ205" s="201"/>
      <c r="AK205" s="201"/>
      <c r="AL205" s="201"/>
      <c r="AM205" s="212"/>
      <c r="AN205" s="212"/>
      <c r="AO205" s="212"/>
      <c r="AP205" s="212"/>
      <c r="AQ205" s="212"/>
      <c r="AR205" s="212"/>
      <c r="AS205" s="212"/>
      <c r="AT205" s="212"/>
      <c r="AU205" s="268"/>
      <c r="AV205" s="268"/>
      <c r="AW205" s="236" t="s">
        <v>1060</v>
      </c>
      <c r="AX205" s="236"/>
      <c r="AY205" s="236"/>
      <c r="AZ205" s="236"/>
      <c r="BA205" s="236"/>
      <c r="BB205" s="236"/>
      <c r="BC205" s="236"/>
      <c r="BD205" s="236" t="s">
        <v>1066</v>
      </c>
      <c r="BE205" s="214"/>
      <c r="BF205" s="214"/>
      <c r="BG205" s="201" t="s">
        <v>619</v>
      </c>
      <c r="BH205" s="201"/>
    </row>
    <row r="206" spans="1:60" s="202" customFormat="1" ht="20.100000000000001" customHeight="1">
      <c r="A206" s="207" t="s">
        <v>1160</v>
      </c>
      <c r="B206" s="201">
        <v>36</v>
      </c>
      <c r="C206" s="201">
        <v>1</v>
      </c>
      <c r="D206" s="208" t="s">
        <v>940</v>
      </c>
      <c r="E206" s="207" t="s">
        <v>941</v>
      </c>
      <c r="F206" s="266" t="str">
        <f t="shared" si="26"/>
        <v>累计消费6000钻即可获得奖励</v>
      </c>
      <c r="G206" s="199" t="s">
        <v>942</v>
      </c>
      <c r="H206" s="207" t="s">
        <v>1200</v>
      </c>
      <c r="I206" s="207" t="s">
        <v>1200</v>
      </c>
      <c r="J206" s="207" t="s">
        <v>1225</v>
      </c>
      <c r="K206" s="207" t="s">
        <v>1225</v>
      </c>
      <c r="L206" s="207"/>
      <c r="M206" s="207" t="s">
        <v>61</v>
      </c>
      <c r="N206" s="207" t="s">
        <v>62</v>
      </c>
      <c r="O206" s="201" t="s">
        <v>63</v>
      </c>
      <c r="P206" s="201" t="s">
        <v>64</v>
      </c>
      <c r="Q206" s="207" t="s">
        <v>273</v>
      </c>
      <c r="R206" s="210"/>
      <c r="S206" s="207"/>
      <c r="T206" s="201"/>
      <c r="U206" s="201">
        <v>1</v>
      </c>
      <c r="V206" s="201">
        <v>0</v>
      </c>
      <c r="W206" s="201"/>
      <c r="X206" s="201" t="s">
        <v>65</v>
      </c>
      <c r="Y206" s="201"/>
      <c r="Z206" s="201"/>
      <c r="AA206" s="201"/>
      <c r="AB206" s="247" t="str">
        <f>CONCATENATE(AW206,BG206,AX206,BG206,AY206,BG206,AZ206,BG206,BA206,BG206,BB206,BG206,BC206,BG206,BD206,BG206,BE206,BG206,BF206)</f>
        <v>300000;;;;;;;3170000:6|3090200:400|3120100:100|1101507:1|1102507:1|1103507:1|1104507:1|1105507:1|1106507:1;;</v>
      </c>
      <c r="AC206" s="267">
        <v>6000</v>
      </c>
      <c r="AD206" s="212"/>
      <c r="AE206" s="201"/>
      <c r="AF206" s="201"/>
      <c r="AG206" s="201"/>
      <c r="AH206" s="201"/>
      <c r="AI206" s="267">
        <v>6000</v>
      </c>
      <c r="AJ206" s="201"/>
      <c r="AK206" s="201"/>
      <c r="AL206" s="201"/>
      <c r="AM206" s="212"/>
      <c r="AN206" s="212"/>
      <c r="AO206" s="212"/>
      <c r="AP206" s="212"/>
      <c r="AQ206" s="212"/>
      <c r="AR206" s="212"/>
      <c r="AS206" s="212"/>
      <c r="AT206" s="212"/>
      <c r="AU206" s="268"/>
      <c r="AV206" s="268"/>
      <c r="AW206" s="236" t="s">
        <v>1061</v>
      </c>
      <c r="AX206" s="236"/>
      <c r="AZ206" s="236"/>
      <c r="BA206" s="236"/>
      <c r="BB206" s="236"/>
      <c r="BC206" s="236"/>
      <c r="BD206" s="237" t="s">
        <v>1164</v>
      </c>
      <c r="BE206" s="214"/>
      <c r="BF206" s="214"/>
      <c r="BG206" s="201" t="s">
        <v>619</v>
      </c>
      <c r="BH206" s="201"/>
    </row>
    <row r="207" spans="1:60" s="202" customFormat="1" ht="20.100000000000001" customHeight="1">
      <c r="A207" s="207" t="s">
        <v>1161</v>
      </c>
      <c r="B207" s="201">
        <v>36</v>
      </c>
      <c r="C207" s="201">
        <v>1</v>
      </c>
      <c r="D207" s="208" t="s">
        <v>940</v>
      </c>
      <c r="E207" s="207" t="s">
        <v>941</v>
      </c>
      <c r="F207" s="266" t="str">
        <f t="shared" si="26"/>
        <v>累计消费12000钻即可获得奖励</v>
      </c>
      <c r="G207" s="199" t="s">
        <v>942</v>
      </c>
      <c r="H207" s="207" t="s">
        <v>1200</v>
      </c>
      <c r="I207" s="207" t="s">
        <v>1200</v>
      </c>
      <c r="J207" s="207" t="s">
        <v>1225</v>
      </c>
      <c r="K207" s="207" t="s">
        <v>1225</v>
      </c>
      <c r="L207" s="207"/>
      <c r="M207" s="207" t="s">
        <v>61</v>
      </c>
      <c r="N207" s="207" t="s">
        <v>62</v>
      </c>
      <c r="O207" s="201" t="s">
        <v>63</v>
      </c>
      <c r="P207" s="201" t="s">
        <v>64</v>
      </c>
      <c r="Q207" s="207" t="s">
        <v>273</v>
      </c>
      <c r="R207" s="210"/>
      <c r="S207" s="207"/>
      <c r="T207" s="201"/>
      <c r="U207" s="201">
        <v>1</v>
      </c>
      <c r="V207" s="201">
        <v>0</v>
      </c>
      <c r="W207" s="201"/>
      <c r="X207" s="201" t="s">
        <v>65</v>
      </c>
      <c r="Y207" s="201"/>
      <c r="Z207" s="201"/>
      <c r="AA207" s="201"/>
      <c r="AB207" s="247" t="str">
        <f>CONCATENATE(AW207,BG207,AX207,BG207,AY207,BG207,AZ207,BG207,BA207,BG207,BB207,BG207,BC207,BG207,BD207,BG207,BE207,BG207,BF207)</f>
        <v>;;3000;;;;;3020203:2|3090400:200|3120300:100|1101500:1|1102500:1|1103500:1|1104500:1|1105500:1|1106500:1;;</v>
      </c>
      <c r="AC207" s="267">
        <v>12000</v>
      </c>
      <c r="AD207" s="212"/>
      <c r="AE207" s="201"/>
      <c r="AF207" s="201"/>
      <c r="AG207" s="201"/>
      <c r="AH207" s="201"/>
      <c r="AI207" s="267">
        <v>12000</v>
      </c>
      <c r="AJ207" s="201"/>
      <c r="AK207" s="201"/>
      <c r="AL207" s="201"/>
      <c r="AM207" s="212"/>
      <c r="AN207" s="212"/>
      <c r="AO207" s="212"/>
      <c r="AP207" s="212"/>
      <c r="AQ207" s="212"/>
      <c r="AR207" s="212"/>
      <c r="AS207" s="212"/>
      <c r="AT207" s="212"/>
      <c r="AU207" s="268"/>
      <c r="AV207" s="268"/>
      <c r="AW207" s="236"/>
      <c r="AX207" s="236"/>
      <c r="AY207" s="236" t="s">
        <v>1062</v>
      </c>
      <c r="AZ207" s="236"/>
      <c r="BA207" s="236"/>
      <c r="BB207" s="236"/>
      <c r="BC207" s="236"/>
      <c r="BD207" s="236" t="s">
        <v>1068</v>
      </c>
      <c r="BE207" s="214"/>
      <c r="BF207" s="214"/>
      <c r="BG207" s="201" t="s">
        <v>619</v>
      </c>
      <c r="BH207" s="201"/>
    </row>
    <row r="208" spans="1:60" s="202" customFormat="1" ht="20.100000000000001" customHeight="1">
      <c r="A208" s="207" t="s">
        <v>1162</v>
      </c>
      <c r="B208" s="201">
        <v>36</v>
      </c>
      <c r="C208" s="201">
        <v>1</v>
      </c>
      <c r="D208" s="208" t="s">
        <v>940</v>
      </c>
      <c r="E208" s="207" t="s">
        <v>941</v>
      </c>
      <c r="F208" s="266" t="str">
        <f t="shared" si="26"/>
        <v>累计消费20000钻即可获得奖励</v>
      </c>
      <c r="G208" s="199" t="s">
        <v>942</v>
      </c>
      <c r="H208" s="207" t="s">
        <v>1200</v>
      </c>
      <c r="I208" s="207" t="s">
        <v>1200</v>
      </c>
      <c r="J208" s="207" t="s">
        <v>1225</v>
      </c>
      <c r="K208" s="207" t="s">
        <v>1225</v>
      </c>
      <c r="L208" s="207"/>
      <c r="M208" s="207" t="s">
        <v>61</v>
      </c>
      <c r="N208" s="207" t="s">
        <v>62</v>
      </c>
      <c r="O208" s="201" t="s">
        <v>63</v>
      </c>
      <c r="P208" s="201" t="s">
        <v>64</v>
      </c>
      <c r="Q208" s="207" t="s">
        <v>273</v>
      </c>
      <c r="R208" s="210"/>
      <c r="S208" s="207"/>
      <c r="T208" s="201"/>
      <c r="U208" s="201">
        <v>1</v>
      </c>
      <c r="V208" s="201">
        <v>0</v>
      </c>
      <c r="W208" s="201"/>
      <c r="X208" s="201" t="s">
        <v>65</v>
      </c>
      <c r="Y208" s="201"/>
      <c r="Z208" s="201"/>
      <c r="AA208" s="201"/>
      <c r="AB208" s="247" t="str">
        <f>CONCATENATE(AW208,BG208,AX208,BG208,AY208,BG208,AZ208,BG208,BA208,BG208,BB208,BG208,BC208,BG208,BD208,BG208,BE208,BG208,BF208)</f>
        <v>;;6000;;;;;3020204:2|3090400:400|3120300:200|1101503:1|1102503:1|1103503:1|1104503:1|1105503:1|1106503:1;;</v>
      </c>
      <c r="AC208" s="267">
        <v>20000</v>
      </c>
      <c r="AD208" s="212"/>
      <c r="AE208" s="201"/>
      <c r="AF208" s="201"/>
      <c r="AG208" s="201"/>
      <c r="AH208" s="201"/>
      <c r="AI208" s="267">
        <v>20000</v>
      </c>
      <c r="AJ208" s="201"/>
      <c r="AK208" s="201"/>
      <c r="AL208" s="201"/>
      <c r="AM208" s="212"/>
      <c r="AN208" s="212"/>
      <c r="AO208" s="212"/>
      <c r="AP208" s="212"/>
      <c r="AQ208" s="212"/>
      <c r="AR208" s="212"/>
      <c r="AS208" s="212"/>
      <c r="AT208" s="212"/>
      <c r="AU208" s="268"/>
      <c r="AV208" s="268"/>
      <c r="AW208" s="236"/>
      <c r="AX208" s="236"/>
      <c r="AY208" s="236" t="s">
        <v>1063</v>
      </c>
      <c r="AZ208" s="236"/>
      <c r="BA208" s="236"/>
      <c r="BB208" s="236"/>
      <c r="BC208" s="236"/>
      <c r="BD208" s="237" t="s">
        <v>1165</v>
      </c>
      <c r="BE208" s="214"/>
      <c r="BF208" s="214"/>
      <c r="BG208" s="201" t="s">
        <v>619</v>
      </c>
      <c r="BH208" s="201"/>
    </row>
    <row r="209" spans="1:60" s="202" customFormat="1" ht="20.100000000000001" customHeight="1">
      <c r="A209" s="207" t="s">
        <v>1163</v>
      </c>
      <c r="B209" s="201">
        <v>36</v>
      </c>
      <c r="C209" s="201">
        <v>1</v>
      </c>
      <c r="D209" s="208" t="s">
        <v>940</v>
      </c>
      <c r="E209" s="207" t="s">
        <v>941</v>
      </c>
      <c r="F209" s="266" t="str">
        <f t="shared" si="26"/>
        <v>累计消费30000钻即可获得奖励</v>
      </c>
      <c r="G209" s="199" t="s">
        <v>942</v>
      </c>
      <c r="H209" s="207" t="s">
        <v>1200</v>
      </c>
      <c r="I209" s="207" t="s">
        <v>1200</v>
      </c>
      <c r="J209" s="207" t="s">
        <v>1225</v>
      </c>
      <c r="K209" s="207" t="s">
        <v>1225</v>
      </c>
      <c r="L209" s="207"/>
      <c r="M209" s="207" t="s">
        <v>61</v>
      </c>
      <c r="N209" s="207" t="s">
        <v>62</v>
      </c>
      <c r="O209" s="201" t="s">
        <v>63</v>
      </c>
      <c r="P209" s="201" t="s">
        <v>64</v>
      </c>
      <c r="Q209" s="207" t="s">
        <v>273</v>
      </c>
      <c r="R209" s="210"/>
      <c r="S209" s="207"/>
      <c r="T209" s="201"/>
      <c r="U209" s="201">
        <v>1</v>
      </c>
      <c r="V209" s="201">
        <v>0</v>
      </c>
      <c r="W209" s="201"/>
      <c r="X209" s="201" t="s">
        <v>65</v>
      </c>
      <c r="Y209" s="201"/>
      <c r="Z209" s="201"/>
      <c r="AA209" s="201"/>
      <c r="AB209" s="247" t="str">
        <f>CONCATENATE(AW209,BG209,AX209,BG209,AY209,BG209,AZ209,BG209,BA209,BG209,BB209,BG209,BC209,BG209,BD209,BG209,BE209,BG209,BF209)</f>
        <v>;;9000;;;;;3020205:2|3120100:200|3120300:200|1101502:1|1102502:1|1103502:1|1104502:1|1105502:1|1106502:1;;</v>
      </c>
      <c r="AC209" s="267">
        <v>30000</v>
      </c>
      <c r="AD209" s="212"/>
      <c r="AE209" s="201"/>
      <c r="AF209" s="201"/>
      <c r="AG209" s="201"/>
      <c r="AH209" s="201"/>
      <c r="AI209" s="267">
        <v>30000</v>
      </c>
      <c r="AJ209" s="201"/>
      <c r="AK209" s="201"/>
      <c r="AL209" s="201"/>
      <c r="AM209" s="212"/>
      <c r="AN209" s="212"/>
      <c r="AO209" s="212"/>
      <c r="AP209" s="212"/>
      <c r="AQ209" s="212"/>
      <c r="AR209" s="212"/>
      <c r="AS209" s="212"/>
      <c r="AT209" s="212"/>
      <c r="AU209" s="268"/>
      <c r="AV209" s="268"/>
      <c r="AW209" s="236"/>
      <c r="AX209" s="236"/>
      <c r="AY209" s="236" t="s">
        <v>1064</v>
      </c>
      <c r="AZ209" s="236"/>
      <c r="BA209" s="236"/>
      <c r="BB209" s="236"/>
      <c r="BC209" s="236"/>
      <c r="BD209" s="236" t="s">
        <v>1127</v>
      </c>
      <c r="BE209" s="214"/>
      <c r="BF209" s="214"/>
      <c r="BG209" s="201" t="s">
        <v>619</v>
      </c>
      <c r="BH209" s="201"/>
    </row>
    <row r="210" spans="1:60" ht="20.100000000000001" customHeight="1">
      <c r="A210" s="76">
        <v>137001</v>
      </c>
      <c r="B210" s="100">
        <v>37</v>
      </c>
      <c r="C210" s="100">
        <v>0</v>
      </c>
      <c r="D210" s="76" t="s">
        <v>679</v>
      </c>
      <c r="E210" s="76"/>
      <c r="F210" s="81"/>
      <c r="G210" s="76" t="s">
        <v>156</v>
      </c>
      <c r="H210" s="93" t="s">
        <v>681</v>
      </c>
      <c r="I210" s="93" t="s">
        <v>681</v>
      </c>
      <c r="J210" s="93" t="s">
        <v>284</v>
      </c>
      <c r="K210" s="93" t="s">
        <v>1030</v>
      </c>
      <c r="L210" s="93"/>
      <c r="M210" s="93" t="s">
        <v>61</v>
      </c>
      <c r="N210" s="93" t="s">
        <v>62</v>
      </c>
      <c r="O210" s="76" t="s">
        <v>63</v>
      </c>
      <c r="P210" s="76" t="s">
        <v>64</v>
      </c>
      <c r="Q210" s="94" t="s">
        <v>617</v>
      </c>
      <c r="R210" s="95"/>
      <c r="S210" s="93"/>
      <c r="T210" s="76"/>
      <c r="U210" s="76">
        <v>0</v>
      </c>
      <c r="V210" s="76">
        <v>0</v>
      </c>
      <c r="W210" s="76">
        <v>6005</v>
      </c>
      <c r="X210" s="76"/>
      <c r="Y210" s="76" t="s">
        <v>111</v>
      </c>
      <c r="Z210" s="76"/>
      <c r="AA210" s="76"/>
      <c r="AB210" s="96" t="str">
        <f t="shared" si="18"/>
        <v>;;;;;;;;;</v>
      </c>
      <c r="AC210" s="76">
        <f>AK210</f>
        <v>7000</v>
      </c>
      <c r="AD210" s="76"/>
      <c r="AE210" s="76"/>
      <c r="AF210" s="76"/>
      <c r="AG210" s="76"/>
      <c r="AH210" s="76"/>
      <c r="AI210" s="76"/>
      <c r="AJ210" s="76"/>
      <c r="AK210" s="76">
        <v>7000</v>
      </c>
      <c r="AL210" s="76"/>
      <c r="AM210" s="76"/>
      <c r="AN210" s="76"/>
      <c r="AO210" s="76"/>
      <c r="AP210" s="76"/>
      <c r="AQ210" s="76"/>
      <c r="AR210" s="76"/>
      <c r="AS210" s="76"/>
      <c r="AT210" s="76"/>
      <c r="AU210" s="76"/>
      <c r="AV210" s="76"/>
      <c r="AW210" s="74"/>
      <c r="AX210" s="74"/>
      <c r="AY210" s="74"/>
      <c r="AZ210" s="74"/>
      <c r="BA210" s="74"/>
      <c r="BB210" s="74"/>
      <c r="BC210" s="74"/>
      <c r="BD210" s="74"/>
      <c r="BE210" s="74"/>
      <c r="BF210" s="74"/>
      <c r="BG210" s="74" t="s">
        <v>619</v>
      </c>
      <c r="BH210" s="74"/>
    </row>
    <row r="211" spans="1:60" s="312" customFormat="1" ht="20.100000000000001" customHeight="1">
      <c r="A211" s="306">
        <v>138001</v>
      </c>
      <c r="B211" s="313">
        <v>38</v>
      </c>
      <c r="C211" s="313">
        <v>0</v>
      </c>
      <c r="D211" s="306" t="s">
        <v>948</v>
      </c>
      <c r="E211" s="306" t="s">
        <v>949</v>
      </c>
      <c r="F211" s="307"/>
      <c r="G211" s="306" t="s">
        <v>156</v>
      </c>
      <c r="H211" s="305" t="s">
        <v>681</v>
      </c>
      <c r="I211" s="305" t="s">
        <v>681</v>
      </c>
      <c r="J211" s="305" t="s">
        <v>1029</v>
      </c>
      <c r="K211" s="305" t="s">
        <v>1029</v>
      </c>
      <c r="L211" s="305"/>
      <c r="M211" s="305" t="s">
        <v>61</v>
      </c>
      <c r="N211" s="305" t="s">
        <v>62</v>
      </c>
      <c r="O211" s="306" t="s">
        <v>63</v>
      </c>
      <c r="P211" s="306" t="s">
        <v>64</v>
      </c>
      <c r="Q211" s="308" t="s">
        <v>617</v>
      </c>
      <c r="R211" s="314"/>
      <c r="S211" s="305"/>
      <c r="T211" s="306"/>
      <c r="U211" s="306">
        <v>1</v>
      </c>
      <c r="V211" s="306">
        <v>0</v>
      </c>
      <c r="W211" s="306"/>
      <c r="X211" s="306"/>
      <c r="Y211" s="306"/>
      <c r="Z211" s="306"/>
      <c r="AA211" s="306"/>
      <c r="AB211" s="310" t="str">
        <f t="shared" si="18"/>
        <v>;;;;;;;1101100:1|1102100:1|1103100:1|1104100:1|1105100:1|1106100:1|3170000:1;;</v>
      </c>
      <c r="AC211" s="306"/>
      <c r="AD211" s="306"/>
      <c r="AE211" s="306"/>
      <c r="AF211" s="306"/>
      <c r="AG211" s="306"/>
      <c r="AH211" s="306"/>
      <c r="AI211" s="306"/>
      <c r="AJ211" s="306"/>
      <c r="AK211" s="306"/>
      <c r="AL211" s="306"/>
      <c r="AM211" s="306"/>
      <c r="AN211" s="306"/>
      <c r="AO211" s="306"/>
      <c r="AP211" s="306"/>
      <c r="AQ211" s="306"/>
      <c r="AR211" s="306"/>
      <c r="AS211" s="306"/>
      <c r="AT211" s="306"/>
      <c r="AU211" s="306"/>
      <c r="AV211" s="306"/>
      <c r="AW211" s="311"/>
      <c r="AX211" s="311"/>
      <c r="AY211" s="311"/>
      <c r="AZ211" s="311"/>
      <c r="BA211" s="311"/>
      <c r="BB211" s="311"/>
      <c r="BC211" s="311"/>
      <c r="BD211" s="315" t="s">
        <v>950</v>
      </c>
      <c r="BE211" s="311"/>
      <c r="BF211" s="311"/>
      <c r="BG211" s="311" t="s">
        <v>619</v>
      </c>
      <c r="BH211" s="311"/>
    </row>
    <row r="212" spans="1:60" s="180" customFormat="1" ht="20.100000000000001" customHeight="1">
      <c r="A212" s="167" t="s">
        <v>951</v>
      </c>
      <c r="B212" s="168">
        <v>39</v>
      </c>
      <c r="C212" s="168">
        <v>1</v>
      </c>
      <c r="D212" s="169" t="s">
        <v>952</v>
      </c>
      <c r="E212" s="167" t="s">
        <v>1025</v>
      </c>
      <c r="F212" s="192"/>
      <c r="G212" s="171" t="s">
        <v>60</v>
      </c>
      <c r="H212" s="167" t="s">
        <v>1039</v>
      </c>
      <c r="I212" s="167" t="s">
        <v>1039</v>
      </c>
      <c r="J212" s="167" t="s">
        <v>1040</v>
      </c>
      <c r="K212" s="167" t="s">
        <v>1047</v>
      </c>
      <c r="L212" s="167" t="s">
        <v>953</v>
      </c>
      <c r="M212" s="167" t="s">
        <v>61</v>
      </c>
      <c r="N212" s="167" t="s">
        <v>62</v>
      </c>
      <c r="O212" s="168" t="s">
        <v>63</v>
      </c>
      <c r="P212" s="168" t="s">
        <v>64</v>
      </c>
      <c r="Q212" s="167" t="s">
        <v>210</v>
      </c>
      <c r="R212" s="173"/>
      <c r="S212" s="167"/>
      <c r="T212" s="168"/>
      <c r="U212" s="168">
        <v>1</v>
      </c>
      <c r="V212" s="168">
        <v>0</v>
      </c>
      <c r="W212" s="168"/>
      <c r="X212" s="168" t="s">
        <v>65</v>
      </c>
      <c r="Y212" s="168"/>
      <c r="Z212" s="168"/>
      <c r="AA212" s="168"/>
      <c r="AB212" s="189" t="str">
        <f t="shared" si="18"/>
        <v>;;;;;;;;;</v>
      </c>
      <c r="AC212" s="193">
        <v>1</v>
      </c>
      <c r="AD212" s="176">
        <v>6000</v>
      </c>
      <c r="AE212" s="168"/>
      <c r="AF212" s="168"/>
      <c r="AG212" s="168"/>
      <c r="AH212" s="168"/>
      <c r="AI212" s="169">
        <v>360</v>
      </c>
      <c r="AJ212" s="168"/>
      <c r="AK212" s="168"/>
      <c r="AL212" s="168"/>
      <c r="AM212" s="176"/>
      <c r="AN212" s="176"/>
      <c r="AO212" s="176"/>
      <c r="AP212" s="176"/>
      <c r="AQ212" s="176"/>
      <c r="AR212" s="176"/>
      <c r="AS212" s="176"/>
      <c r="AT212" s="194"/>
      <c r="AU212" s="194"/>
      <c r="AV212" s="194"/>
      <c r="AW212" s="176"/>
      <c r="AX212" s="176"/>
      <c r="AY212" s="176"/>
      <c r="AZ212" s="179"/>
      <c r="BA212" s="179"/>
      <c r="BB212" s="179"/>
      <c r="BC212" s="179"/>
      <c r="BD212" s="179"/>
      <c r="BE212" s="179"/>
      <c r="BF212" s="179"/>
      <c r="BG212" s="168" t="s">
        <v>619</v>
      </c>
      <c r="BH212" s="179"/>
    </row>
    <row r="213" spans="1:60" s="180" customFormat="1" ht="20.100000000000001" customHeight="1">
      <c r="A213" s="167" t="s">
        <v>954</v>
      </c>
      <c r="B213" s="168">
        <v>39</v>
      </c>
      <c r="C213" s="168">
        <v>1</v>
      </c>
      <c r="D213" s="169" t="s">
        <v>955</v>
      </c>
      <c r="E213" s="167" t="s">
        <v>1026</v>
      </c>
      <c r="F213" s="192"/>
      <c r="G213" s="171" t="s">
        <v>60</v>
      </c>
      <c r="H213" s="167" t="s">
        <v>1039</v>
      </c>
      <c r="I213" s="167" t="s">
        <v>1039</v>
      </c>
      <c r="J213" s="167" t="s">
        <v>1041</v>
      </c>
      <c r="K213" s="167" t="s">
        <v>1047</v>
      </c>
      <c r="L213" s="167" t="s">
        <v>953</v>
      </c>
      <c r="M213" s="167" t="s">
        <v>61</v>
      </c>
      <c r="N213" s="167" t="s">
        <v>62</v>
      </c>
      <c r="O213" s="168" t="s">
        <v>63</v>
      </c>
      <c r="P213" s="168" t="s">
        <v>64</v>
      </c>
      <c r="Q213" s="167" t="s">
        <v>210</v>
      </c>
      <c r="R213" s="173"/>
      <c r="S213" s="167"/>
      <c r="T213" s="168"/>
      <c r="U213" s="168">
        <v>1</v>
      </c>
      <c r="V213" s="168">
        <v>0</v>
      </c>
      <c r="W213" s="168"/>
      <c r="X213" s="168" t="s">
        <v>65</v>
      </c>
      <c r="Y213" s="168"/>
      <c r="Z213" s="168"/>
      <c r="AA213" s="168"/>
      <c r="AB213" s="189" t="str">
        <f t="shared" si="18"/>
        <v>;;;;;;;;;</v>
      </c>
      <c r="AC213" s="193">
        <v>2</v>
      </c>
      <c r="AD213" s="176">
        <v>6000</v>
      </c>
      <c r="AE213" s="168"/>
      <c r="AF213" s="168"/>
      <c r="AG213" s="168"/>
      <c r="AH213" s="168"/>
      <c r="AI213" s="169">
        <v>360</v>
      </c>
      <c r="AJ213" s="168"/>
      <c r="AK213" s="168"/>
      <c r="AL213" s="168"/>
      <c r="AM213" s="176"/>
      <c r="AN213" s="176"/>
      <c r="AO213" s="176"/>
      <c r="AP213" s="176"/>
      <c r="AQ213" s="176"/>
      <c r="AR213" s="176"/>
      <c r="AS213" s="176"/>
      <c r="AT213" s="194"/>
      <c r="AU213" s="194"/>
      <c r="AV213" s="194"/>
      <c r="AW213" s="176"/>
      <c r="AX213" s="176"/>
      <c r="AY213" s="176"/>
      <c r="AZ213" s="179"/>
      <c r="BA213" s="179"/>
      <c r="BB213" s="179"/>
      <c r="BC213" s="179"/>
      <c r="BD213" s="179"/>
      <c r="BE213" s="179"/>
      <c r="BF213" s="179"/>
      <c r="BG213" s="168" t="s">
        <v>619</v>
      </c>
      <c r="BH213" s="179"/>
    </row>
    <row r="214" spans="1:60" s="180" customFormat="1" ht="20.100000000000001" customHeight="1">
      <c r="A214" s="167" t="s">
        <v>956</v>
      </c>
      <c r="B214" s="168">
        <v>39</v>
      </c>
      <c r="C214" s="168">
        <v>1</v>
      </c>
      <c r="D214" s="169" t="s">
        <v>957</v>
      </c>
      <c r="E214" s="167" t="s">
        <v>1024</v>
      </c>
      <c r="F214" s="192"/>
      <c r="G214" s="171" t="s">
        <v>60</v>
      </c>
      <c r="H214" s="167" t="s">
        <v>1039</v>
      </c>
      <c r="I214" s="167" t="s">
        <v>1039</v>
      </c>
      <c r="J214" s="167" t="s">
        <v>1042</v>
      </c>
      <c r="K214" s="167" t="s">
        <v>518</v>
      </c>
      <c r="L214" s="167" t="s">
        <v>953</v>
      </c>
      <c r="M214" s="167" t="s">
        <v>61</v>
      </c>
      <c r="N214" s="167" t="s">
        <v>62</v>
      </c>
      <c r="O214" s="168" t="s">
        <v>63</v>
      </c>
      <c r="P214" s="168" t="s">
        <v>64</v>
      </c>
      <c r="Q214" s="167" t="s">
        <v>210</v>
      </c>
      <c r="R214" s="173"/>
      <c r="S214" s="167"/>
      <c r="T214" s="168"/>
      <c r="U214" s="168">
        <v>1</v>
      </c>
      <c r="V214" s="168">
        <v>0</v>
      </c>
      <c r="W214" s="168"/>
      <c r="X214" s="168" t="s">
        <v>65</v>
      </c>
      <c r="Y214" s="168"/>
      <c r="Z214" s="168"/>
      <c r="AA214" s="168"/>
      <c r="AB214" s="189" t="str">
        <f t="shared" si="18"/>
        <v>;;;;;;;;;</v>
      </c>
      <c r="AC214" s="193">
        <v>5</v>
      </c>
      <c r="AD214" s="176">
        <v>20000</v>
      </c>
      <c r="AE214" s="168"/>
      <c r="AF214" s="168"/>
      <c r="AG214" s="168"/>
      <c r="AH214" s="168"/>
      <c r="AI214" s="169">
        <v>360</v>
      </c>
      <c r="AJ214" s="168"/>
      <c r="AK214" s="168"/>
      <c r="AL214" s="168"/>
      <c r="AM214" s="176"/>
      <c r="AN214" s="176"/>
      <c r="AO214" s="176"/>
      <c r="AP214" s="176"/>
      <c r="AQ214" s="176"/>
      <c r="AR214" s="176"/>
      <c r="AS214" s="176"/>
      <c r="AT214" s="194"/>
      <c r="AU214" s="194"/>
      <c r="AV214" s="194"/>
      <c r="AW214" s="176"/>
      <c r="AX214" s="176"/>
      <c r="AY214" s="176"/>
      <c r="AZ214" s="179"/>
      <c r="BA214" s="179"/>
      <c r="BB214" s="179"/>
      <c r="BC214" s="179"/>
      <c r="BD214" s="179"/>
      <c r="BE214" s="179"/>
      <c r="BF214" s="179"/>
      <c r="BG214" s="168" t="s">
        <v>619</v>
      </c>
      <c r="BH214" s="179"/>
    </row>
    <row r="215" spans="1:60" s="180" customFormat="1" ht="20.100000000000001" customHeight="1">
      <c r="A215" s="167" t="s">
        <v>958</v>
      </c>
      <c r="B215" s="168">
        <v>39</v>
      </c>
      <c r="C215" s="168">
        <v>1</v>
      </c>
      <c r="D215" s="169" t="s">
        <v>959</v>
      </c>
      <c r="E215" s="167" t="s">
        <v>960</v>
      </c>
      <c r="F215" s="192"/>
      <c r="G215" s="171" t="s">
        <v>60</v>
      </c>
      <c r="H215" s="167" t="s">
        <v>1039</v>
      </c>
      <c r="I215" s="167" t="s">
        <v>1039</v>
      </c>
      <c r="J215" s="167" t="s">
        <v>1043</v>
      </c>
      <c r="K215" s="167" t="s">
        <v>518</v>
      </c>
      <c r="L215" s="167" t="s">
        <v>953</v>
      </c>
      <c r="M215" s="167" t="s">
        <v>61</v>
      </c>
      <c r="N215" s="167" t="s">
        <v>62</v>
      </c>
      <c r="O215" s="168" t="s">
        <v>63</v>
      </c>
      <c r="P215" s="168" t="s">
        <v>64</v>
      </c>
      <c r="Q215" s="167" t="s">
        <v>210</v>
      </c>
      <c r="R215" s="173"/>
      <c r="S215" s="167"/>
      <c r="T215" s="168"/>
      <c r="U215" s="168">
        <v>1</v>
      </c>
      <c r="V215" s="168">
        <v>0</v>
      </c>
      <c r="W215" s="168"/>
      <c r="X215" s="168" t="s">
        <v>65</v>
      </c>
      <c r="Y215" s="168"/>
      <c r="Z215" s="168"/>
      <c r="AA215" s="168"/>
      <c r="AB215" s="189" t="str">
        <f t="shared" si="18"/>
        <v>;;;;;;;;;</v>
      </c>
      <c r="AC215" s="193">
        <v>3</v>
      </c>
      <c r="AD215" s="176">
        <v>3000</v>
      </c>
      <c r="AE215" s="168"/>
      <c r="AF215" s="168"/>
      <c r="AG215" s="168"/>
      <c r="AH215" s="168"/>
      <c r="AI215" s="169">
        <v>360</v>
      </c>
      <c r="AJ215" s="168"/>
      <c r="AK215" s="168"/>
      <c r="AL215" s="168"/>
      <c r="AM215" s="176"/>
      <c r="AN215" s="176"/>
      <c r="AO215" s="176"/>
      <c r="AP215" s="176"/>
      <c r="AQ215" s="176"/>
      <c r="AR215" s="176"/>
      <c r="AS215" s="176"/>
      <c r="AT215" s="194"/>
      <c r="AU215" s="194"/>
      <c r="AV215" s="194"/>
      <c r="AW215" s="176"/>
      <c r="AX215" s="176"/>
      <c r="AY215" s="176"/>
      <c r="AZ215" s="179"/>
      <c r="BA215" s="179"/>
      <c r="BB215" s="179"/>
      <c r="BC215" s="179"/>
      <c r="BD215" s="179"/>
      <c r="BE215" s="179"/>
      <c r="BF215" s="179"/>
      <c r="BG215" s="168" t="s">
        <v>619</v>
      </c>
      <c r="BH215" s="179"/>
    </row>
    <row r="216" spans="1:60" s="180" customFormat="1" ht="20.100000000000001" customHeight="1">
      <c r="A216" s="167" t="s">
        <v>961</v>
      </c>
      <c r="B216" s="168">
        <v>39</v>
      </c>
      <c r="C216" s="168">
        <v>1</v>
      </c>
      <c r="D216" s="169" t="s">
        <v>962</v>
      </c>
      <c r="E216" s="167" t="s">
        <v>963</v>
      </c>
      <c r="F216" s="192"/>
      <c r="G216" s="171" t="s">
        <v>60</v>
      </c>
      <c r="H216" s="167" t="s">
        <v>1039</v>
      </c>
      <c r="I216" s="167" t="s">
        <v>1039</v>
      </c>
      <c r="J216" s="167" t="s">
        <v>1044</v>
      </c>
      <c r="K216" s="167" t="s">
        <v>518</v>
      </c>
      <c r="L216" s="167" t="s">
        <v>953</v>
      </c>
      <c r="M216" s="167" t="s">
        <v>61</v>
      </c>
      <c r="N216" s="167" t="s">
        <v>62</v>
      </c>
      <c r="O216" s="168" t="s">
        <v>63</v>
      </c>
      <c r="P216" s="168" t="s">
        <v>64</v>
      </c>
      <c r="Q216" s="167" t="s">
        <v>210</v>
      </c>
      <c r="R216" s="173"/>
      <c r="S216" s="167"/>
      <c r="T216" s="168"/>
      <c r="U216" s="168">
        <v>1</v>
      </c>
      <c r="V216" s="168">
        <v>0</v>
      </c>
      <c r="W216" s="168"/>
      <c r="X216" s="168" t="s">
        <v>65</v>
      </c>
      <c r="Y216" s="168"/>
      <c r="Z216" s="168"/>
      <c r="AA216" s="168"/>
      <c r="AB216" s="189" t="str">
        <f t="shared" si="18"/>
        <v>;;;;;;;;;</v>
      </c>
      <c r="AC216" s="193">
        <v>4</v>
      </c>
      <c r="AD216" s="176">
        <v>10000</v>
      </c>
      <c r="AE216" s="168"/>
      <c r="AF216" s="168"/>
      <c r="AG216" s="168"/>
      <c r="AH216" s="168"/>
      <c r="AI216" s="169">
        <v>360</v>
      </c>
      <c r="AJ216" s="168"/>
      <c r="AK216" s="168"/>
      <c r="AL216" s="168"/>
      <c r="AM216" s="176"/>
      <c r="AN216" s="176"/>
      <c r="AO216" s="176"/>
      <c r="AP216" s="176"/>
      <c r="AQ216" s="176"/>
      <c r="AR216" s="176"/>
      <c r="AS216" s="176"/>
      <c r="AT216" s="194"/>
      <c r="AU216" s="194"/>
      <c r="AV216" s="194"/>
      <c r="AW216" s="176"/>
      <c r="AX216" s="176"/>
      <c r="AY216" s="176"/>
      <c r="AZ216" s="179"/>
      <c r="BA216" s="179"/>
      <c r="BB216" s="179"/>
      <c r="BC216" s="179"/>
      <c r="BD216" s="179"/>
      <c r="BE216" s="179"/>
      <c r="BF216" s="179"/>
      <c r="BG216" s="168" t="s">
        <v>619</v>
      </c>
      <c r="BH216" s="179"/>
    </row>
    <row r="217" spans="1:60" s="180" customFormat="1" ht="20.100000000000001" customHeight="1">
      <c r="A217" s="167" t="s">
        <v>964</v>
      </c>
      <c r="B217" s="168">
        <v>39</v>
      </c>
      <c r="C217" s="168">
        <v>1</v>
      </c>
      <c r="D217" s="169" t="s">
        <v>965</v>
      </c>
      <c r="E217" s="167" t="s">
        <v>966</v>
      </c>
      <c r="F217" s="192"/>
      <c r="G217" s="171" t="s">
        <v>60</v>
      </c>
      <c r="H217" s="167" t="s">
        <v>1039</v>
      </c>
      <c r="I217" s="167" t="s">
        <v>1039</v>
      </c>
      <c r="J217" s="167" t="s">
        <v>1045</v>
      </c>
      <c r="K217" s="167" t="s">
        <v>518</v>
      </c>
      <c r="L217" s="167" t="s">
        <v>953</v>
      </c>
      <c r="M217" s="167" t="s">
        <v>61</v>
      </c>
      <c r="N217" s="167" t="s">
        <v>62</v>
      </c>
      <c r="O217" s="168" t="s">
        <v>63</v>
      </c>
      <c r="P217" s="168" t="s">
        <v>64</v>
      </c>
      <c r="Q217" s="167" t="s">
        <v>210</v>
      </c>
      <c r="R217" s="173"/>
      <c r="S217" s="167"/>
      <c r="T217" s="168"/>
      <c r="U217" s="168">
        <v>1</v>
      </c>
      <c r="V217" s="168">
        <v>0</v>
      </c>
      <c r="W217" s="168"/>
      <c r="X217" s="168" t="s">
        <v>65</v>
      </c>
      <c r="Y217" s="168"/>
      <c r="Z217" s="168"/>
      <c r="AA217" s="168"/>
      <c r="AB217" s="189" t="str">
        <f t="shared" si="18"/>
        <v>;;;;;;;;;</v>
      </c>
      <c r="AC217" s="193">
        <v>6</v>
      </c>
      <c r="AD217" s="176">
        <v>1000</v>
      </c>
      <c r="AE217" s="168"/>
      <c r="AF217" s="168"/>
      <c r="AG217" s="168"/>
      <c r="AH217" s="168"/>
      <c r="AI217" s="169">
        <v>360</v>
      </c>
      <c r="AJ217" s="168"/>
      <c r="AK217" s="168"/>
      <c r="AL217" s="168"/>
      <c r="AM217" s="176"/>
      <c r="AN217" s="176"/>
      <c r="AO217" s="176"/>
      <c r="AP217" s="176"/>
      <c r="AQ217" s="176"/>
      <c r="AR217" s="176"/>
      <c r="AS217" s="176"/>
      <c r="AT217" s="194"/>
      <c r="AU217" s="194"/>
      <c r="AV217" s="194"/>
      <c r="AW217" s="176"/>
      <c r="AX217" s="176"/>
      <c r="AY217" s="176"/>
      <c r="AZ217" s="179"/>
      <c r="BA217" s="179"/>
      <c r="BB217" s="179"/>
      <c r="BC217" s="179"/>
      <c r="BD217" s="179"/>
      <c r="BE217" s="179"/>
      <c r="BF217" s="179"/>
      <c r="BG217" s="168" t="s">
        <v>619</v>
      </c>
      <c r="BH217" s="179"/>
    </row>
    <row r="218" spans="1:60" s="180" customFormat="1" ht="20.100000000000001" customHeight="1">
      <c r="A218" s="167" t="s">
        <v>967</v>
      </c>
      <c r="B218" s="168">
        <v>39</v>
      </c>
      <c r="C218" s="168">
        <v>1</v>
      </c>
      <c r="D218" s="169" t="s">
        <v>968</v>
      </c>
      <c r="E218" s="167" t="s">
        <v>969</v>
      </c>
      <c r="F218" s="192"/>
      <c r="G218" s="171" t="s">
        <v>60</v>
      </c>
      <c r="H218" s="167" t="s">
        <v>1039</v>
      </c>
      <c r="I218" s="167" t="s">
        <v>1039</v>
      </c>
      <c r="J218" s="167" t="s">
        <v>1046</v>
      </c>
      <c r="K218" s="167" t="s">
        <v>518</v>
      </c>
      <c r="L218" s="167" t="s">
        <v>953</v>
      </c>
      <c r="M218" s="167" t="s">
        <v>61</v>
      </c>
      <c r="N218" s="167" t="s">
        <v>62</v>
      </c>
      <c r="O218" s="168" t="s">
        <v>63</v>
      </c>
      <c r="P218" s="168" t="s">
        <v>64</v>
      </c>
      <c r="Q218" s="167" t="s">
        <v>210</v>
      </c>
      <c r="R218" s="173"/>
      <c r="S218" s="167"/>
      <c r="T218" s="168"/>
      <c r="U218" s="168">
        <v>1</v>
      </c>
      <c r="V218" s="168">
        <v>0</v>
      </c>
      <c r="W218" s="168"/>
      <c r="X218" s="168" t="s">
        <v>65</v>
      </c>
      <c r="Y218" s="168"/>
      <c r="Z218" s="168"/>
      <c r="AA218" s="168"/>
      <c r="AB218" s="189" t="str">
        <f t="shared" si="18"/>
        <v>;;;;;;;;;</v>
      </c>
      <c r="AC218" s="193">
        <v>5</v>
      </c>
      <c r="AD218" s="176">
        <v>60000</v>
      </c>
      <c r="AE218" s="168"/>
      <c r="AF218" s="168"/>
      <c r="AG218" s="168"/>
      <c r="AH218" s="168"/>
      <c r="AI218" s="169">
        <v>360</v>
      </c>
      <c r="AJ218" s="168"/>
      <c r="AK218" s="168"/>
      <c r="AL218" s="168"/>
      <c r="AM218" s="176"/>
      <c r="AN218" s="176"/>
      <c r="AO218" s="176"/>
      <c r="AP218" s="176"/>
      <c r="AQ218" s="176"/>
      <c r="AR218" s="176"/>
      <c r="AS218" s="176"/>
      <c r="AT218" s="194"/>
      <c r="AU218" s="194"/>
      <c r="AV218" s="194"/>
      <c r="AW218" s="176"/>
      <c r="AX218" s="176"/>
      <c r="AY218" s="176"/>
      <c r="AZ218" s="179"/>
      <c r="BA218" s="179"/>
      <c r="BB218" s="179"/>
      <c r="BC218" s="179"/>
      <c r="BD218" s="179"/>
      <c r="BE218" s="179"/>
      <c r="BF218" s="179"/>
      <c r="BG218" s="168" t="s">
        <v>619</v>
      </c>
      <c r="BH218" s="179"/>
    </row>
    <row r="219" spans="1:60" s="202" customFormat="1" ht="20.100000000000001" customHeight="1">
      <c r="A219" s="207">
        <v>140001</v>
      </c>
      <c r="B219" s="201">
        <v>40</v>
      </c>
      <c r="C219" s="201">
        <v>0</v>
      </c>
      <c r="D219" s="208" t="s">
        <v>970</v>
      </c>
      <c r="E219" s="207"/>
      <c r="F219" s="209"/>
      <c r="G219" s="199" t="s">
        <v>971</v>
      </c>
      <c r="H219" s="207" t="s">
        <v>1213</v>
      </c>
      <c r="I219" s="207" t="s">
        <v>1213</v>
      </c>
      <c r="J219" s="207" t="s">
        <v>1226</v>
      </c>
      <c r="K219" s="207" t="s">
        <v>1226</v>
      </c>
      <c r="L219" s="207" t="s">
        <v>825</v>
      </c>
      <c r="M219" s="207" t="s">
        <v>61</v>
      </c>
      <c r="N219" s="207" t="s">
        <v>62</v>
      </c>
      <c r="O219" s="201" t="s">
        <v>63</v>
      </c>
      <c r="P219" s="201" t="s">
        <v>64</v>
      </c>
      <c r="Q219" s="207" t="s">
        <v>210</v>
      </c>
      <c r="R219" s="210"/>
      <c r="S219" s="207"/>
      <c r="T219" s="201"/>
      <c r="U219" s="201">
        <v>6</v>
      </c>
      <c r="V219" s="201"/>
      <c r="W219" s="201"/>
      <c r="X219" s="201"/>
      <c r="Y219" s="201"/>
      <c r="Z219" s="201"/>
      <c r="AA219" s="201"/>
      <c r="AB219" s="200" t="str">
        <f t="shared" si="18"/>
        <v>;;;;;;;;;</v>
      </c>
      <c r="AC219" s="211">
        <v>48</v>
      </c>
      <c r="AD219" s="212"/>
      <c r="AE219" s="201"/>
      <c r="AF219" s="201"/>
      <c r="AG219" s="201"/>
      <c r="AH219" s="201"/>
      <c r="AI219" s="208"/>
      <c r="AJ219" s="201"/>
      <c r="AK219" s="201"/>
      <c r="AL219" s="201"/>
      <c r="AM219" s="212"/>
      <c r="AN219" s="212"/>
      <c r="AO219" s="212"/>
      <c r="AP219" s="212"/>
      <c r="AQ219" s="212"/>
      <c r="AR219" s="212"/>
      <c r="AS219" s="212"/>
      <c r="AT219" s="213"/>
      <c r="AU219" s="213"/>
      <c r="AV219" s="213"/>
      <c r="AW219" s="212"/>
      <c r="AX219" s="212"/>
      <c r="AY219" s="212"/>
      <c r="AZ219" s="214"/>
      <c r="BA219" s="214"/>
      <c r="BB219" s="214"/>
      <c r="BC219" s="214"/>
      <c r="BD219" s="214"/>
      <c r="BE219" s="214"/>
      <c r="BF219" s="214"/>
      <c r="BG219" s="201" t="s">
        <v>619</v>
      </c>
      <c r="BH219" s="214"/>
    </row>
    <row r="220" spans="1:60" s="180" customFormat="1" ht="20.100000000000001" customHeight="1">
      <c r="A220" s="167" t="s">
        <v>1095</v>
      </c>
      <c r="B220" s="168">
        <v>40</v>
      </c>
      <c r="C220" s="168">
        <v>0</v>
      </c>
      <c r="D220" s="169" t="s">
        <v>970</v>
      </c>
      <c r="E220" s="167"/>
      <c r="F220" s="192"/>
      <c r="G220" s="171" t="s">
        <v>971</v>
      </c>
      <c r="H220" s="167" t="s">
        <v>1219</v>
      </c>
      <c r="I220" s="167" t="s">
        <v>1219</v>
      </c>
      <c r="J220" s="167" t="s">
        <v>1227</v>
      </c>
      <c r="K220" s="167" t="s">
        <v>1227</v>
      </c>
      <c r="L220" s="167" t="s">
        <v>825</v>
      </c>
      <c r="M220" s="167" t="s">
        <v>61</v>
      </c>
      <c r="N220" s="167" t="s">
        <v>62</v>
      </c>
      <c r="O220" s="168" t="s">
        <v>63</v>
      </c>
      <c r="P220" s="168" t="s">
        <v>64</v>
      </c>
      <c r="Q220" s="167" t="s">
        <v>210</v>
      </c>
      <c r="R220" s="173"/>
      <c r="S220" s="167"/>
      <c r="T220" s="168"/>
      <c r="U220" s="168">
        <v>6</v>
      </c>
      <c r="V220" s="168"/>
      <c r="W220" s="168"/>
      <c r="X220" s="168"/>
      <c r="Y220" s="168"/>
      <c r="Z220" s="168"/>
      <c r="AA220" s="168"/>
      <c r="AB220" s="189" t="str">
        <f t="shared" ref="AB220" si="27">CONCATENATE(AW220,BG220,AX220,BG220,AY220,BG220,AZ220,BG220,BA220,BG220,BB220,BG220,BC220,BG220,BD220,BG220,BE220,BG220,BF220)</f>
        <v>;;;;;;;;;</v>
      </c>
      <c r="AC220" s="193">
        <v>48</v>
      </c>
      <c r="AD220" s="176"/>
      <c r="AE220" s="168"/>
      <c r="AF220" s="168"/>
      <c r="AG220" s="168"/>
      <c r="AH220" s="168"/>
      <c r="AI220" s="169"/>
      <c r="AJ220" s="168"/>
      <c r="AK220" s="168"/>
      <c r="AL220" s="168"/>
      <c r="AM220" s="176"/>
      <c r="AN220" s="176"/>
      <c r="AO220" s="176"/>
      <c r="AP220" s="176"/>
      <c r="AQ220" s="176"/>
      <c r="AR220" s="176"/>
      <c r="AS220" s="176"/>
      <c r="AT220" s="194"/>
      <c r="AU220" s="194"/>
      <c r="AV220" s="194"/>
      <c r="AW220" s="176"/>
      <c r="AX220" s="176"/>
      <c r="AY220" s="176"/>
      <c r="AZ220" s="179"/>
      <c r="BA220" s="179"/>
      <c r="BB220" s="179"/>
      <c r="BC220" s="179"/>
      <c r="BD220" s="179"/>
      <c r="BE220" s="179"/>
      <c r="BF220" s="179"/>
      <c r="BG220" s="168" t="s">
        <v>619</v>
      </c>
      <c r="BH220" s="179"/>
    </row>
    <row r="221" spans="1:60" ht="20.100000000000001" customHeight="1">
      <c r="A221" s="94" t="s">
        <v>1101</v>
      </c>
      <c r="B221" s="74">
        <v>41</v>
      </c>
      <c r="C221" s="74">
        <v>1</v>
      </c>
      <c r="D221" s="92" t="s">
        <v>801</v>
      </c>
      <c r="E221" s="94"/>
      <c r="F221" s="115"/>
      <c r="G221" s="76"/>
      <c r="H221" s="93" t="s">
        <v>725</v>
      </c>
      <c r="I221" s="93" t="s">
        <v>725</v>
      </c>
      <c r="J221" s="93" t="s">
        <v>616</v>
      </c>
      <c r="K221" s="93" t="s">
        <v>616</v>
      </c>
      <c r="L221" s="94"/>
      <c r="M221" s="94" t="s">
        <v>61</v>
      </c>
      <c r="N221" s="94" t="s">
        <v>62</v>
      </c>
      <c r="O221" s="74" t="s">
        <v>63</v>
      </c>
      <c r="P221" s="74" t="s">
        <v>64</v>
      </c>
      <c r="Q221" s="94" t="s">
        <v>210</v>
      </c>
      <c r="R221" s="97"/>
      <c r="S221" s="94"/>
      <c r="T221" s="74"/>
      <c r="U221" s="74"/>
      <c r="V221" s="121" t="s">
        <v>800</v>
      </c>
      <c r="W221" s="74"/>
      <c r="X221" s="74"/>
      <c r="Y221" s="74"/>
      <c r="Z221" s="74"/>
      <c r="AA221" s="74"/>
      <c r="AB221" s="96" t="str">
        <f t="shared" si="18"/>
        <v>;;;;;;;;;</v>
      </c>
      <c r="AC221" s="145">
        <v>300</v>
      </c>
      <c r="AD221" s="146">
        <v>4</v>
      </c>
      <c r="AE221" s="74"/>
      <c r="AF221" s="74"/>
      <c r="AG221" s="74"/>
      <c r="AH221" s="74"/>
      <c r="AI221" s="92"/>
      <c r="AJ221" s="74"/>
      <c r="AK221" s="74"/>
      <c r="AL221" s="74"/>
      <c r="AM221" s="146"/>
      <c r="AN221" s="146"/>
      <c r="AO221" s="146"/>
      <c r="AP221" s="146"/>
      <c r="AQ221" s="146"/>
      <c r="AR221" s="146"/>
      <c r="AS221" s="146"/>
      <c r="AT221" s="116"/>
      <c r="AU221" s="116"/>
      <c r="AV221" s="116"/>
      <c r="AW221" s="146"/>
      <c r="AX221" s="146"/>
      <c r="AY221" s="146"/>
      <c r="AZ221" s="117"/>
      <c r="BA221" s="117"/>
      <c r="BB221" s="117"/>
      <c r="BC221" s="117"/>
      <c r="BD221" s="117"/>
      <c r="BE221" s="117"/>
      <c r="BF221" s="117"/>
      <c r="BG221" s="74" t="s">
        <v>619</v>
      </c>
      <c r="BH221" s="117"/>
    </row>
    <row r="222" spans="1:60" ht="20.100000000000001" customHeight="1">
      <c r="A222" s="94" t="s">
        <v>1100</v>
      </c>
      <c r="B222" s="74">
        <v>41</v>
      </c>
      <c r="C222" s="74">
        <v>2</v>
      </c>
      <c r="D222" s="92" t="s">
        <v>804</v>
      </c>
      <c r="E222" s="94"/>
      <c r="F222" s="115"/>
      <c r="G222" s="76"/>
      <c r="H222" s="93" t="s">
        <v>725</v>
      </c>
      <c r="I222" s="93" t="s">
        <v>725</v>
      </c>
      <c r="J222" s="93" t="s">
        <v>616</v>
      </c>
      <c r="K222" s="93" t="s">
        <v>616</v>
      </c>
      <c r="L222" s="94"/>
      <c r="M222" s="94" t="s">
        <v>61</v>
      </c>
      <c r="N222" s="94" t="s">
        <v>62</v>
      </c>
      <c r="O222" s="74" t="s">
        <v>63</v>
      </c>
      <c r="P222" s="74" t="s">
        <v>64</v>
      </c>
      <c r="Q222" s="94" t="s">
        <v>210</v>
      </c>
      <c r="R222" s="97"/>
      <c r="S222" s="94"/>
      <c r="T222" s="74"/>
      <c r="U222" s="74"/>
      <c r="V222" s="121" t="s">
        <v>803</v>
      </c>
      <c r="W222" s="74"/>
      <c r="X222" s="74"/>
      <c r="Y222" s="74"/>
      <c r="Z222" s="74"/>
      <c r="AA222" s="74"/>
      <c r="AB222" s="96" t="str">
        <f t="shared" si="18"/>
        <v>;;;;;;;;;</v>
      </c>
      <c r="AC222" s="145">
        <v>100</v>
      </c>
      <c r="AD222" s="146">
        <v>6</v>
      </c>
      <c r="AE222" s="74"/>
      <c r="AF222" s="74"/>
      <c r="AG222" s="74"/>
      <c r="AH222" s="74"/>
      <c r="AI222" s="92"/>
      <c r="AJ222" s="74"/>
      <c r="AK222" s="74"/>
      <c r="AL222" s="74"/>
      <c r="AM222" s="146"/>
      <c r="AN222" s="146"/>
      <c r="AO222" s="146"/>
      <c r="AP222" s="146"/>
      <c r="AQ222" s="146"/>
      <c r="AR222" s="146"/>
      <c r="AS222" s="146"/>
      <c r="AT222" s="116"/>
      <c r="AU222" s="116"/>
      <c r="AV222" s="116"/>
      <c r="AW222" s="146"/>
      <c r="AX222" s="146"/>
      <c r="AY222" s="146"/>
      <c r="AZ222" s="117"/>
      <c r="BA222" s="117"/>
      <c r="BB222" s="117"/>
      <c r="BC222" s="117"/>
      <c r="BD222" s="117"/>
      <c r="BE222" s="117"/>
      <c r="BF222" s="117"/>
      <c r="BG222" s="74" t="s">
        <v>619</v>
      </c>
      <c r="BH222" s="117"/>
    </row>
    <row r="223" spans="1:60" ht="20.100000000000001" customHeight="1">
      <c r="A223" s="94" t="s">
        <v>972</v>
      </c>
      <c r="B223" s="74">
        <v>42</v>
      </c>
      <c r="C223" s="74">
        <v>1</v>
      </c>
      <c r="D223" s="92" t="s">
        <v>973</v>
      </c>
      <c r="E223" s="94" t="s">
        <v>974</v>
      </c>
      <c r="F223" s="115"/>
      <c r="G223" s="76"/>
      <c r="H223" s="93" t="s">
        <v>725</v>
      </c>
      <c r="I223" s="93" t="s">
        <v>725</v>
      </c>
      <c r="J223" s="93" t="s">
        <v>616</v>
      </c>
      <c r="K223" s="93" t="s">
        <v>616</v>
      </c>
      <c r="L223" s="94"/>
      <c r="M223" s="94" t="s">
        <v>61</v>
      </c>
      <c r="N223" s="94" t="s">
        <v>62</v>
      </c>
      <c r="O223" s="74" t="s">
        <v>63</v>
      </c>
      <c r="P223" s="74" t="s">
        <v>64</v>
      </c>
      <c r="Q223" s="94" t="s">
        <v>975</v>
      </c>
      <c r="R223" s="97"/>
      <c r="S223" s="94"/>
      <c r="T223" s="74">
        <v>1</v>
      </c>
      <c r="U223" s="74"/>
      <c r="V223" s="121"/>
      <c r="W223" s="74"/>
      <c r="X223" s="74"/>
      <c r="Y223" s="74"/>
      <c r="Z223" s="74"/>
      <c r="AA223" s="74"/>
      <c r="AB223" s="96" t="str">
        <f t="shared" si="18"/>
        <v>30000;;100;;;;;;;</v>
      </c>
      <c r="AC223" s="145">
        <v>600005</v>
      </c>
      <c r="AD223" s="146">
        <v>6</v>
      </c>
      <c r="AE223" s="74"/>
      <c r="AF223" s="74"/>
      <c r="AG223" s="74"/>
      <c r="AH223" s="74"/>
      <c r="AI223" s="92"/>
      <c r="AJ223" s="74"/>
      <c r="AK223" s="74"/>
      <c r="AL223" s="74"/>
      <c r="AM223" s="146"/>
      <c r="AN223" s="146"/>
      <c r="AO223" s="146"/>
      <c r="AP223" s="146"/>
      <c r="AQ223" s="146"/>
      <c r="AR223" s="146"/>
      <c r="AS223" s="146"/>
      <c r="AT223" s="116"/>
      <c r="AU223" s="116"/>
      <c r="AV223" s="116"/>
      <c r="AW223" s="146">
        <v>30000</v>
      </c>
      <c r="AX223" s="146"/>
      <c r="AY223" s="146">
        <v>100</v>
      </c>
      <c r="AZ223" s="117"/>
      <c r="BA223" s="117"/>
      <c r="BB223" s="117"/>
      <c r="BC223" s="117"/>
      <c r="BD223" s="117"/>
      <c r="BE223" s="117"/>
      <c r="BF223" s="117"/>
      <c r="BG223" s="74" t="s">
        <v>619</v>
      </c>
      <c r="BH223" s="117"/>
    </row>
    <row r="224" spans="1:60" ht="20.100000000000001" customHeight="1">
      <c r="A224" s="94" t="s">
        <v>976</v>
      </c>
      <c r="B224" s="74">
        <v>42</v>
      </c>
      <c r="C224" s="74">
        <v>2</v>
      </c>
      <c r="D224" s="92" t="s">
        <v>977</v>
      </c>
      <c r="E224" s="94"/>
      <c r="F224" s="115"/>
      <c r="G224" s="76"/>
      <c r="H224" s="93" t="s">
        <v>725</v>
      </c>
      <c r="I224" s="93" t="s">
        <v>725</v>
      </c>
      <c r="J224" s="93" t="s">
        <v>616</v>
      </c>
      <c r="K224" s="93" t="s">
        <v>616</v>
      </c>
      <c r="L224" s="94"/>
      <c r="M224" s="94" t="s">
        <v>61</v>
      </c>
      <c r="N224" s="94" t="s">
        <v>62</v>
      </c>
      <c r="O224" s="74" t="s">
        <v>63</v>
      </c>
      <c r="P224" s="74" t="s">
        <v>64</v>
      </c>
      <c r="Q224" s="94" t="s">
        <v>975</v>
      </c>
      <c r="R224" s="97"/>
      <c r="S224" s="94"/>
      <c r="T224" s="74">
        <v>1</v>
      </c>
      <c r="U224" s="74"/>
      <c r="V224" s="121"/>
      <c r="W224" s="74"/>
      <c r="X224" s="74"/>
      <c r="Y224" s="74"/>
      <c r="Z224" s="74"/>
      <c r="AA224" s="74"/>
      <c r="AB224" s="96" t="str">
        <f t="shared" si="18"/>
        <v>30000;;100;;;;;;;</v>
      </c>
      <c r="AC224" s="145">
        <v>600005</v>
      </c>
      <c r="AD224" s="146">
        <v>7</v>
      </c>
      <c r="AE224" s="74"/>
      <c r="AF224" s="74"/>
      <c r="AG224" s="74"/>
      <c r="AH224" s="74"/>
      <c r="AI224" s="92"/>
      <c r="AJ224" s="74"/>
      <c r="AK224" s="74"/>
      <c r="AL224" s="74"/>
      <c r="AM224" s="146"/>
      <c r="AN224" s="146"/>
      <c r="AO224" s="146"/>
      <c r="AP224" s="146"/>
      <c r="AQ224" s="146"/>
      <c r="AR224" s="146"/>
      <c r="AS224" s="146"/>
      <c r="AT224" s="116"/>
      <c r="AU224" s="116"/>
      <c r="AV224" s="116"/>
      <c r="AW224" s="146">
        <v>30000</v>
      </c>
      <c r="AX224" s="146"/>
      <c r="AY224" s="146">
        <v>100</v>
      </c>
      <c r="AZ224" s="117"/>
      <c r="BA224" s="117"/>
      <c r="BB224" s="117"/>
      <c r="BC224" s="117"/>
      <c r="BD224" s="117"/>
      <c r="BE224" s="117"/>
      <c r="BF224" s="117"/>
      <c r="BG224" s="74" t="s">
        <v>619</v>
      </c>
      <c r="BH224" s="117"/>
    </row>
    <row r="225" spans="1:60" ht="20.100000000000001" customHeight="1">
      <c r="A225" s="94">
        <v>143101</v>
      </c>
      <c r="B225" s="74">
        <v>43</v>
      </c>
      <c r="C225" s="74">
        <v>1</v>
      </c>
      <c r="D225" s="92" t="s">
        <v>978</v>
      </c>
      <c r="E225" s="94"/>
      <c r="F225" s="115"/>
      <c r="G225" s="76"/>
      <c r="H225" s="93" t="s">
        <v>725</v>
      </c>
      <c r="I225" s="93" t="s">
        <v>725</v>
      </c>
      <c r="J225" s="93" t="s">
        <v>616</v>
      </c>
      <c r="K225" s="93" t="s">
        <v>616</v>
      </c>
      <c r="L225" s="94"/>
      <c r="M225" s="94" t="s">
        <v>777</v>
      </c>
      <c r="N225" s="94" t="s">
        <v>727</v>
      </c>
      <c r="O225" s="74">
        <v>1</v>
      </c>
      <c r="P225" s="74" t="s">
        <v>979</v>
      </c>
      <c r="Q225" s="94" t="s">
        <v>617</v>
      </c>
      <c r="R225" s="97"/>
      <c r="S225" s="94"/>
      <c r="T225" s="74">
        <v>1</v>
      </c>
      <c r="U225" s="74"/>
      <c r="V225" s="121"/>
      <c r="W225" s="74"/>
      <c r="X225" s="74"/>
      <c r="Y225" s="74"/>
      <c r="Z225" s="74"/>
      <c r="AA225" s="74"/>
      <c r="AB225" s="96" t="str">
        <f t="shared" si="18"/>
        <v>;;;;;;;3020206:1;;</v>
      </c>
      <c r="AC225" s="145">
        <v>2</v>
      </c>
      <c r="AD225" s="146"/>
      <c r="AE225" s="74"/>
      <c r="AF225" s="74"/>
      <c r="AG225" s="74"/>
      <c r="AH225" s="74"/>
      <c r="AI225" s="92"/>
      <c r="AJ225" s="74"/>
      <c r="AK225" s="74"/>
      <c r="AL225" s="74"/>
      <c r="AM225" s="146"/>
      <c r="AN225" s="146"/>
      <c r="AO225" s="146"/>
      <c r="AP225" s="146"/>
      <c r="AQ225" s="146"/>
      <c r="AR225" s="146"/>
      <c r="AS225" s="146"/>
      <c r="AT225" s="116"/>
      <c r="AU225" s="116"/>
      <c r="AV225" s="116"/>
      <c r="AW225" s="146"/>
      <c r="AX225" s="146"/>
      <c r="AY225" s="146"/>
      <c r="AZ225" s="117"/>
      <c r="BA225" s="117"/>
      <c r="BB225" s="117"/>
      <c r="BC225" s="117"/>
      <c r="BD225" s="117" t="s">
        <v>456</v>
      </c>
      <c r="BE225" s="117"/>
      <c r="BF225" s="117"/>
      <c r="BG225" s="74" t="s">
        <v>619</v>
      </c>
      <c r="BH225" s="117"/>
    </row>
    <row r="226" spans="1:60" ht="20.100000000000001" customHeight="1">
      <c r="A226" s="94">
        <v>143102</v>
      </c>
      <c r="B226" s="74">
        <v>43</v>
      </c>
      <c r="C226" s="74">
        <v>2</v>
      </c>
      <c r="D226" s="92" t="s">
        <v>980</v>
      </c>
      <c r="E226" s="94"/>
      <c r="F226" s="115"/>
      <c r="G226" s="76"/>
      <c r="H226" s="93" t="s">
        <v>725</v>
      </c>
      <c r="I226" s="93" t="s">
        <v>725</v>
      </c>
      <c r="J226" s="93" t="s">
        <v>616</v>
      </c>
      <c r="K226" s="93" t="s">
        <v>616</v>
      </c>
      <c r="L226" s="94"/>
      <c r="M226" s="94" t="s">
        <v>777</v>
      </c>
      <c r="N226" s="94" t="s">
        <v>727</v>
      </c>
      <c r="O226" s="74">
        <v>2</v>
      </c>
      <c r="P226" s="74" t="s">
        <v>979</v>
      </c>
      <c r="Q226" s="94" t="s">
        <v>617</v>
      </c>
      <c r="R226" s="97"/>
      <c r="S226" s="94"/>
      <c r="T226" s="74">
        <v>1</v>
      </c>
      <c r="U226" s="74"/>
      <c r="V226" s="121"/>
      <c r="W226" s="74"/>
      <c r="X226" s="74"/>
      <c r="Y226" s="74"/>
      <c r="Z226" s="74"/>
      <c r="AA226" s="74"/>
      <c r="AB226" s="96" t="str">
        <f t="shared" si="18"/>
        <v>;;;;;;;3020206:1;;</v>
      </c>
      <c r="AC226" s="145">
        <v>3</v>
      </c>
      <c r="AD226" s="146"/>
      <c r="AE226" s="74"/>
      <c r="AF226" s="74"/>
      <c r="AG226" s="74"/>
      <c r="AH226" s="74"/>
      <c r="AI226" s="92"/>
      <c r="AJ226" s="74"/>
      <c r="AK226" s="74"/>
      <c r="AL226" s="74"/>
      <c r="AM226" s="146"/>
      <c r="AN226" s="146"/>
      <c r="AO226" s="146"/>
      <c r="AP226" s="146"/>
      <c r="AQ226" s="146"/>
      <c r="AR226" s="146"/>
      <c r="AS226" s="146"/>
      <c r="AT226" s="116"/>
      <c r="AU226" s="116"/>
      <c r="AV226" s="116"/>
      <c r="AW226" s="146"/>
      <c r="AX226" s="146"/>
      <c r="AY226" s="146"/>
      <c r="AZ226" s="117"/>
      <c r="BA226" s="117"/>
      <c r="BB226" s="117"/>
      <c r="BC226" s="117"/>
      <c r="BD226" s="117" t="s">
        <v>456</v>
      </c>
      <c r="BE226" s="117"/>
      <c r="BF226" s="117"/>
      <c r="BG226" s="74" t="s">
        <v>619</v>
      </c>
      <c r="BH226" s="117"/>
    </row>
    <row r="227" spans="1:60" ht="20.100000000000001" customHeight="1">
      <c r="A227" s="94">
        <v>143103</v>
      </c>
      <c r="B227" s="74">
        <v>43</v>
      </c>
      <c r="C227" s="74">
        <v>3</v>
      </c>
      <c r="D227" s="92" t="s">
        <v>981</v>
      </c>
      <c r="E227" s="94"/>
      <c r="F227" s="115"/>
      <c r="G227" s="76"/>
      <c r="H227" s="93" t="s">
        <v>725</v>
      </c>
      <c r="I227" s="93" t="s">
        <v>725</v>
      </c>
      <c r="J227" s="93" t="s">
        <v>616</v>
      </c>
      <c r="K227" s="93" t="s">
        <v>616</v>
      </c>
      <c r="L227" s="94"/>
      <c r="M227" s="94" t="s">
        <v>777</v>
      </c>
      <c r="N227" s="94" t="s">
        <v>727</v>
      </c>
      <c r="O227" s="74">
        <v>3</v>
      </c>
      <c r="P227" s="74" t="s">
        <v>979</v>
      </c>
      <c r="Q227" s="94" t="s">
        <v>617</v>
      </c>
      <c r="R227" s="97"/>
      <c r="S227" s="94"/>
      <c r="T227" s="74">
        <v>1</v>
      </c>
      <c r="U227" s="74"/>
      <c r="V227" s="121"/>
      <c r="W227" s="74"/>
      <c r="X227" s="74"/>
      <c r="Y227" s="74"/>
      <c r="Z227" s="74"/>
      <c r="AA227" s="74"/>
      <c r="AB227" s="96" t="str">
        <f t="shared" si="18"/>
        <v>;;;;;;;3020206:1;;</v>
      </c>
      <c r="AC227" s="145">
        <v>4</v>
      </c>
      <c r="AD227" s="146"/>
      <c r="AE227" s="74"/>
      <c r="AF227" s="74"/>
      <c r="AG227" s="74"/>
      <c r="AH227" s="74"/>
      <c r="AI227" s="92"/>
      <c r="AJ227" s="74"/>
      <c r="AK227" s="74"/>
      <c r="AL227" s="74"/>
      <c r="AM227" s="146"/>
      <c r="AN227" s="146"/>
      <c r="AO227" s="146"/>
      <c r="AP227" s="146"/>
      <c r="AQ227" s="146"/>
      <c r="AR227" s="146"/>
      <c r="AS227" s="146"/>
      <c r="AT227" s="116"/>
      <c r="AU227" s="116"/>
      <c r="AV227" s="116"/>
      <c r="AW227" s="146"/>
      <c r="AX227" s="146"/>
      <c r="AY227" s="146"/>
      <c r="AZ227" s="117"/>
      <c r="BA227" s="117"/>
      <c r="BB227" s="117"/>
      <c r="BC227" s="117"/>
      <c r="BD227" s="117" t="s">
        <v>456</v>
      </c>
      <c r="BE227" s="117"/>
      <c r="BF227" s="117"/>
      <c r="BG227" s="74" t="s">
        <v>619</v>
      </c>
      <c r="BH227" s="117"/>
    </row>
    <row r="228" spans="1:60" ht="20.100000000000001" customHeight="1">
      <c r="A228" s="94">
        <v>143104</v>
      </c>
      <c r="B228" s="74">
        <v>43</v>
      </c>
      <c r="C228" s="74">
        <v>4</v>
      </c>
      <c r="D228" s="92" t="s">
        <v>982</v>
      </c>
      <c r="E228" s="94"/>
      <c r="F228" s="115"/>
      <c r="G228" s="76"/>
      <c r="H228" s="93" t="s">
        <v>725</v>
      </c>
      <c r="I228" s="93" t="s">
        <v>725</v>
      </c>
      <c r="J228" s="93" t="s">
        <v>616</v>
      </c>
      <c r="K228" s="93" t="s">
        <v>616</v>
      </c>
      <c r="L228" s="94"/>
      <c r="M228" s="94" t="s">
        <v>777</v>
      </c>
      <c r="N228" s="94" t="s">
        <v>727</v>
      </c>
      <c r="O228" s="74">
        <v>4</v>
      </c>
      <c r="P228" s="74" t="s">
        <v>979</v>
      </c>
      <c r="Q228" s="94" t="s">
        <v>617</v>
      </c>
      <c r="R228" s="97"/>
      <c r="S228" s="94"/>
      <c r="T228" s="74">
        <v>1</v>
      </c>
      <c r="U228" s="74"/>
      <c r="V228" s="121"/>
      <c r="W228" s="74"/>
      <c r="X228" s="74"/>
      <c r="Y228" s="74"/>
      <c r="Z228" s="74"/>
      <c r="AA228" s="74"/>
      <c r="AB228" s="96" t="str">
        <f t="shared" si="18"/>
        <v>;;;;;;;3020206:1;;</v>
      </c>
      <c r="AC228" s="145">
        <v>5</v>
      </c>
      <c r="AD228" s="146"/>
      <c r="AE228" s="74"/>
      <c r="AF228" s="74"/>
      <c r="AG228" s="74"/>
      <c r="AH228" s="74"/>
      <c r="AI228" s="92"/>
      <c r="AJ228" s="74"/>
      <c r="AK228" s="74"/>
      <c r="AL228" s="74"/>
      <c r="AM228" s="146"/>
      <c r="AN228" s="146"/>
      <c r="AO228" s="146"/>
      <c r="AP228" s="146"/>
      <c r="AQ228" s="146"/>
      <c r="AR228" s="146"/>
      <c r="AS228" s="146"/>
      <c r="AT228" s="116"/>
      <c r="AU228" s="116"/>
      <c r="AV228" s="116"/>
      <c r="AW228" s="146"/>
      <c r="AX228" s="146"/>
      <c r="AY228" s="146"/>
      <c r="AZ228" s="117"/>
      <c r="BA228" s="117"/>
      <c r="BB228" s="117"/>
      <c r="BC228" s="117"/>
      <c r="BD228" s="117" t="s">
        <v>456</v>
      </c>
      <c r="BE228" s="117"/>
      <c r="BF228" s="117"/>
      <c r="BG228" s="74" t="s">
        <v>619</v>
      </c>
      <c r="BH228" s="117"/>
    </row>
    <row r="229" spans="1:60" ht="20.100000000000001" customHeight="1">
      <c r="A229" s="94">
        <v>143105</v>
      </c>
      <c r="B229" s="74">
        <v>43</v>
      </c>
      <c r="C229" s="74">
        <v>5</v>
      </c>
      <c r="D229" s="92" t="s">
        <v>983</v>
      </c>
      <c r="E229" s="94"/>
      <c r="F229" s="115"/>
      <c r="G229" s="76"/>
      <c r="H229" s="93" t="s">
        <v>725</v>
      </c>
      <c r="I229" s="93" t="s">
        <v>725</v>
      </c>
      <c r="J229" s="93" t="s">
        <v>616</v>
      </c>
      <c r="K229" s="93" t="s">
        <v>616</v>
      </c>
      <c r="L229" s="94"/>
      <c r="M229" s="94" t="s">
        <v>777</v>
      </c>
      <c r="N229" s="94" t="s">
        <v>727</v>
      </c>
      <c r="O229" s="74">
        <v>5</v>
      </c>
      <c r="P229" s="74" t="s">
        <v>979</v>
      </c>
      <c r="Q229" s="94" t="s">
        <v>617</v>
      </c>
      <c r="R229" s="97"/>
      <c r="S229" s="94"/>
      <c r="T229" s="74">
        <v>1</v>
      </c>
      <c r="U229" s="74"/>
      <c r="V229" s="121"/>
      <c r="W229" s="74"/>
      <c r="X229" s="74"/>
      <c r="Y229" s="74"/>
      <c r="Z229" s="74"/>
      <c r="AA229" s="74"/>
      <c r="AB229" s="96" t="str">
        <f t="shared" si="18"/>
        <v>;;;;;;;3020206:1;;</v>
      </c>
      <c r="AC229" s="145">
        <v>6</v>
      </c>
      <c r="AD229" s="146"/>
      <c r="AE229" s="74"/>
      <c r="AF229" s="74"/>
      <c r="AG229" s="74"/>
      <c r="AH229" s="74"/>
      <c r="AI229" s="92"/>
      <c r="AJ229" s="74"/>
      <c r="AK229" s="74"/>
      <c r="AL229" s="74"/>
      <c r="AM229" s="146"/>
      <c r="AN229" s="146"/>
      <c r="AO229" s="146"/>
      <c r="AP229" s="146"/>
      <c r="AQ229" s="146"/>
      <c r="AR229" s="146"/>
      <c r="AS229" s="146"/>
      <c r="AT229" s="116"/>
      <c r="AU229" s="116"/>
      <c r="AV229" s="116"/>
      <c r="AW229" s="146"/>
      <c r="AX229" s="146"/>
      <c r="AY229" s="146"/>
      <c r="AZ229" s="117"/>
      <c r="BA229" s="117"/>
      <c r="BB229" s="117"/>
      <c r="BC229" s="117"/>
      <c r="BD229" s="117" t="s">
        <v>456</v>
      </c>
      <c r="BE229" s="117"/>
      <c r="BF229" s="117"/>
      <c r="BG229" s="74" t="s">
        <v>619</v>
      </c>
      <c r="BH229" s="117"/>
    </row>
    <row r="230" spans="1:60" ht="20.100000000000001" customHeight="1">
      <c r="A230" s="94" t="s">
        <v>984</v>
      </c>
      <c r="B230" s="74">
        <v>43</v>
      </c>
      <c r="C230" s="74">
        <v>6</v>
      </c>
      <c r="D230" s="92" t="s">
        <v>985</v>
      </c>
      <c r="E230" s="94"/>
      <c r="F230" s="115"/>
      <c r="G230" s="76"/>
      <c r="H230" s="93" t="s">
        <v>725</v>
      </c>
      <c r="I230" s="93" t="s">
        <v>725</v>
      </c>
      <c r="J230" s="93" t="s">
        <v>616</v>
      </c>
      <c r="K230" s="93" t="s">
        <v>616</v>
      </c>
      <c r="L230" s="94"/>
      <c r="M230" s="94" t="s">
        <v>777</v>
      </c>
      <c r="N230" s="94" t="s">
        <v>727</v>
      </c>
      <c r="O230" s="74">
        <v>6</v>
      </c>
      <c r="P230" s="74" t="s">
        <v>979</v>
      </c>
      <c r="Q230" s="94" t="s">
        <v>617</v>
      </c>
      <c r="R230" s="97"/>
      <c r="S230" s="94"/>
      <c r="T230" s="74">
        <v>1</v>
      </c>
      <c r="U230" s="74"/>
      <c r="V230" s="121"/>
      <c r="W230" s="74"/>
      <c r="X230" s="74"/>
      <c r="Y230" s="74"/>
      <c r="Z230" s="74"/>
      <c r="AA230" s="74"/>
      <c r="AB230" s="96" t="str">
        <f t="shared" si="18"/>
        <v>;;;;;;;3020206:1;;</v>
      </c>
      <c r="AC230" s="145">
        <v>7</v>
      </c>
      <c r="AD230" s="146"/>
      <c r="AE230" s="74"/>
      <c r="AF230" s="74"/>
      <c r="AG230" s="74"/>
      <c r="AH230" s="74"/>
      <c r="AI230" s="92"/>
      <c r="AJ230" s="74"/>
      <c r="AK230" s="74"/>
      <c r="AL230" s="74"/>
      <c r="AM230" s="146"/>
      <c r="AN230" s="146"/>
      <c r="AO230" s="146"/>
      <c r="AP230" s="146"/>
      <c r="AQ230" s="146"/>
      <c r="AR230" s="146"/>
      <c r="AS230" s="146"/>
      <c r="AT230" s="116"/>
      <c r="AU230" s="116"/>
      <c r="AV230" s="116"/>
      <c r="AW230" s="146"/>
      <c r="AX230" s="146"/>
      <c r="AY230" s="146"/>
      <c r="AZ230" s="117"/>
      <c r="BA230" s="117"/>
      <c r="BB230" s="117"/>
      <c r="BC230" s="117"/>
      <c r="BD230" s="117" t="s">
        <v>456</v>
      </c>
      <c r="BE230" s="117"/>
      <c r="BF230" s="117"/>
      <c r="BG230" s="74" t="s">
        <v>619</v>
      </c>
      <c r="BH230" s="117"/>
    </row>
    <row r="231" spans="1:60" ht="20.100000000000001" customHeight="1">
      <c r="A231" s="94" t="s">
        <v>986</v>
      </c>
      <c r="B231" s="74">
        <v>43</v>
      </c>
      <c r="C231" s="74">
        <v>7</v>
      </c>
      <c r="D231" s="92" t="s">
        <v>987</v>
      </c>
      <c r="E231" s="94"/>
      <c r="F231" s="115"/>
      <c r="G231" s="76"/>
      <c r="H231" s="93" t="s">
        <v>725</v>
      </c>
      <c r="I231" s="93" t="s">
        <v>725</v>
      </c>
      <c r="J231" s="93" t="s">
        <v>616</v>
      </c>
      <c r="K231" s="93" t="s">
        <v>616</v>
      </c>
      <c r="L231" s="94"/>
      <c r="M231" s="94" t="s">
        <v>777</v>
      </c>
      <c r="N231" s="94" t="s">
        <v>727</v>
      </c>
      <c r="O231" s="74">
        <v>7</v>
      </c>
      <c r="P231" s="74" t="s">
        <v>979</v>
      </c>
      <c r="Q231" s="94" t="s">
        <v>617</v>
      </c>
      <c r="R231" s="97"/>
      <c r="S231" s="94"/>
      <c r="T231" s="74">
        <v>1</v>
      </c>
      <c r="U231" s="74"/>
      <c r="V231" s="121"/>
      <c r="W231" s="74"/>
      <c r="X231" s="74"/>
      <c r="Y231" s="74"/>
      <c r="Z231" s="74"/>
      <c r="AA231" s="74"/>
      <c r="AB231" s="96" t="str">
        <f t="shared" si="18"/>
        <v>;;;;;;;3020206:1;;</v>
      </c>
      <c r="AC231" s="145">
        <v>1</v>
      </c>
      <c r="AD231" s="146"/>
      <c r="AE231" s="74"/>
      <c r="AF231" s="74"/>
      <c r="AG231" s="74"/>
      <c r="AH231" s="74"/>
      <c r="AI231" s="92"/>
      <c r="AJ231" s="74"/>
      <c r="AK231" s="74"/>
      <c r="AL231" s="74"/>
      <c r="AM231" s="146"/>
      <c r="AN231" s="146"/>
      <c r="AO231" s="146"/>
      <c r="AP231" s="146"/>
      <c r="AQ231" s="146"/>
      <c r="AR231" s="146"/>
      <c r="AS231" s="146"/>
      <c r="AT231" s="116"/>
      <c r="AU231" s="116"/>
      <c r="AV231" s="116"/>
      <c r="AW231" s="146"/>
      <c r="AX231" s="146"/>
      <c r="AY231" s="146"/>
      <c r="AZ231" s="117"/>
      <c r="BA231" s="117"/>
      <c r="BB231" s="117"/>
      <c r="BC231" s="117"/>
      <c r="BD231" s="117" t="s">
        <v>456</v>
      </c>
      <c r="BE231" s="117"/>
      <c r="BF231" s="117"/>
      <c r="BG231" s="74" t="s">
        <v>619</v>
      </c>
      <c r="BH231" s="117"/>
    </row>
    <row r="232" spans="1:60" s="202" customFormat="1" ht="20.100000000000001" customHeight="1">
      <c r="A232" s="207" t="s">
        <v>1107</v>
      </c>
      <c r="B232" s="201">
        <v>44</v>
      </c>
      <c r="C232" s="201">
        <v>0</v>
      </c>
      <c r="D232" s="208" t="s">
        <v>1108</v>
      </c>
      <c r="E232" s="207" t="s">
        <v>1109</v>
      </c>
      <c r="F232" s="209"/>
      <c r="G232" s="199" t="s">
        <v>971</v>
      </c>
      <c r="H232" s="207" t="s">
        <v>1196</v>
      </c>
      <c r="I232" s="207" t="s">
        <v>1196</v>
      </c>
      <c r="J232" s="207" t="s">
        <v>1197</v>
      </c>
      <c r="K232" s="207" t="s">
        <v>1197</v>
      </c>
      <c r="L232" s="207"/>
      <c r="M232" s="207" t="s">
        <v>61</v>
      </c>
      <c r="N232" s="207" t="s">
        <v>62</v>
      </c>
      <c r="O232" s="201" t="s">
        <v>63</v>
      </c>
      <c r="P232" s="201" t="s">
        <v>64</v>
      </c>
      <c r="Q232" s="207" t="s">
        <v>210</v>
      </c>
      <c r="R232" s="210"/>
      <c r="S232" s="207"/>
      <c r="T232" s="201"/>
      <c r="U232" s="201"/>
      <c r="V232" s="201"/>
      <c r="W232" s="201"/>
      <c r="X232" s="201"/>
      <c r="Y232" s="201"/>
      <c r="Z232" s="201"/>
      <c r="AA232" s="201"/>
      <c r="AB232" s="200" t="str">
        <f>CONCATENATE(AW232,BG232,AX232,BG232,AY232,BG232,AZ232,BG232,BA232,BG232,BB232,BG232,BC232,BG232,BD232,BG232,BE232,BG232,BF232)</f>
        <v>;;;;;;;;4400001;1</v>
      </c>
      <c r="AC232" s="211">
        <v>1</v>
      </c>
      <c r="AD232" s="212"/>
      <c r="AE232" s="201"/>
      <c r="AF232" s="201"/>
      <c r="AG232" s="201"/>
      <c r="AH232" s="201"/>
      <c r="AI232" s="208"/>
      <c r="AJ232" s="201"/>
      <c r="AK232" s="201"/>
      <c r="AL232" s="201"/>
      <c r="AM232" s="212"/>
      <c r="AN232" s="212"/>
      <c r="AO232" s="212"/>
      <c r="AP232" s="212"/>
      <c r="AQ232" s="212"/>
      <c r="AR232" s="212"/>
      <c r="AS232" s="212"/>
      <c r="AT232" s="213"/>
      <c r="AU232" s="213"/>
      <c r="AV232" s="213"/>
      <c r="AW232" s="212"/>
      <c r="AX232" s="212"/>
      <c r="AY232" s="212"/>
      <c r="AZ232" s="214"/>
      <c r="BA232" s="214"/>
      <c r="BB232" s="214"/>
      <c r="BC232" s="214"/>
      <c r="BD232" s="214"/>
      <c r="BE232" s="214">
        <v>4400001</v>
      </c>
      <c r="BF232" s="214">
        <v>1</v>
      </c>
      <c r="BG232" s="201" t="s">
        <v>619</v>
      </c>
    </row>
    <row r="233" spans="1:60" s="180" customFormat="1" ht="20.100000000000001" customHeight="1">
      <c r="A233" s="167" t="s">
        <v>1138</v>
      </c>
      <c r="B233" s="168">
        <v>44</v>
      </c>
      <c r="C233" s="168">
        <v>0</v>
      </c>
      <c r="D233" s="169" t="s">
        <v>1108</v>
      </c>
      <c r="E233" s="167" t="s">
        <v>1109</v>
      </c>
      <c r="F233" s="192"/>
      <c r="G233" s="171" t="s">
        <v>971</v>
      </c>
      <c r="H233" s="167" t="s">
        <v>1198</v>
      </c>
      <c r="I233" s="167" t="s">
        <v>1198</v>
      </c>
      <c r="J233" s="167" t="s">
        <v>1200</v>
      </c>
      <c r="K233" s="167" t="s">
        <v>1200</v>
      </c>
      <c r="L233" s="167"/>
      <c r="M233" s="167" t="s">
        <v>61</v>
      </c>
      <c r="N233" s="167" t="s">
        <v>62</v>
      </c>
      <c r="O233" s="168" t="s">
        <v>63</v>
      </c>
      <c r="P233" s="168" t="s">
        <v>64</v>
      </c>
      <c r="Q233" s="167" t="s">
        <v>210</v>
      </c>
      <c r="R233" s="173"/>
      <c r="S233" s="167"/>
      <c r="T233" s="168"/>
      <c r="U233" s="168"/>
      <c r="V233" s="168"/>
      <c r="W233" s="168"/>
      <c r="X233" s="168"/>
      <c r="Y233" s="168"/>
      <c r="Z233" s="168"/>
      <c r="AA233" s="168"/>
      <c r="AB233" s="189" t="str">
        <f>CONCATENATE(AW233,BG233,AX233,BG233,AY233,BG233,AZ233,BG233,BA233,BG233,BB233,BG233,BC233,BG233,BD233,BG233,BE233,BG233,BF233)</f>
        <v>;;;;;;;;4400001;1</v>
      </c>
      <c r="AC233" s="193">
        <v>1</v>
      </c>
      <c r="AD233" s="176"/>
      <c r="AE233" s="168"/>
      <c r="AF233" s="168"/>
      <c r="AG233" s="168"/>
      <c r="AH233" s="168"/>
      <c r="AI233" s="169"/>
      <c r="AJ233" s="168"/>
      <c r="AK233" s="168"/>
      <c r="AL233" s="168"/>
      <c r="AM233" s="176"/>
      <c r="AN233" s="176"/>
      <c r="AO233" s="176"/>
      <c r="AP233" s="176"/>
      <c r="AQ233" s="176"/>
      <c r="AR233" s="176"/>
      <c r="AS233" s="176"/>
      <c r="AT233" s="194"/>
      <c r="AU233" s="194"/>
      <c r="AV233" s="194"/>
      <c r="AW233" s="176"/>
      <c r="AX233" s="176"/>
      <c r="AY233" s="176"/>
      <c r="AZ233" s="179"/>
      <c r="BA233" s="179"/>
      <c r="BB233" s="179"/>
      <c r="BC233" s="179"/>
      <c r="BD233" s="179"/>
      <c r="BE233" s="179">
        <v>4400001</v>
      </c>
      <c r="BF233" s="179">
        <v>1</v>
      </c>
      <c r="BG233" s="168" t="s">
        <v>619</v>
      </c>
    </row>
    <row r="234" spans="1:60" s="202" customFormat="1" ht="20.100000000000001" customHeight="1">
      <c r="A234" s="207" t="s">
        <v>1139</v>
      </c>
      <c r="B234" s="201">
        <v>44</v>
      </c>
      <c r="C234" s="201">
        <v>0</v>
      </c>
      <c r="D234" s="208" t="s">
        <v>1108</v>
      </c>
      <c r="E234" s="207" t="s">
        <v>1109</v>
      </c>
      <c r="F234" s="209"/>
      <c r="G234" s="199" t="s">
        <v>971</v>
      </c>
      <c r="H234" s="207" t="s">
        <v>1201</v>
      </c>
      <c r="I234" s="207" t="s">
        <v>1201</v>
      </c>
      <c r="J234" s="207" t="s">
        <v>1202</v>
      </c>
      <c r="K234" s="207" t="s">
        <v>1202</v>
      </c>
      <c r="L234" s="207"/>
      <c r="M234" s="207" t="s">
        <v>61</v>
      </c>
      <c r="N234" s="207" t="s">
        <v>62</v>
      </c>
      <c r="O234" s="201" t="s">
        <v>63</v>
      </c>
      <c r="P234" s="201" t="s">
        <v>64</v>
      </c>
      <c r="Q234" s="207" t="s">
        <v>210</v>
      </c>
      <c r="R234" s="210"/>
      <c r="S234" s="207"/>
      <c r="T234" s="201"/>
      <c r="U234" s="201"/>
      <c r="V234" s="201"/>
      <c r="W234" s="201"/>
      <c r="X234" s="201"/>
      <c r="Y234" s="201"/>
      <c r="Z234" s="201"/>
      <c r="AA234" s="201"/>
      <c r="AB234" s="200" t="str">
        <f>CONCATENATE(AW234,BG234,AX234,BG234,AY234,BG234,AZ234,BG234,BA234,BG234,BB234,BG234,BC234,BG234,BD234,BG234,BE234,BG234,BF234)</f>
        <v>;;;;;;;;4400001;1</v>
      </c>
      <c r="AC234" s="211">
        <v>1</v>
      </c>
      <c r="AD234" s="212"/>
      <c r="AE234" s="201"/>
      <c r="AF234" s="201"/>
      <c r="AG234" s="201"/>
      <c r="AH234" s="201"/>
      <c r="AI234" s="208"/>
      <c r="AJ234" s="201"/>
      <c r="AK234" s="201"/>
      <c r="AL234" s="201"/>
      <c r="AM234" s="212"/>
      <c r="AN234" s="212"/>
      <c r="AO234" s="212"/>
      <c r="AP234" s="212"/>
      <c r="AQ234" s="212"/>
      <c r="AR234" s="212"/>
      <c r="AS234" s="212"/>
      <c r="AT234" s="213"/>
      <c r="AU234" s="213"/>
      <c r="AV234" s="213"/>
      <c r="AW234" s="212"/>
      <c r="AX234" s="212"/>
      <c r="AY234" s="212"/>
      <c r="AZ234" s="214"/>
      <c r="BA234" s="214"/>
      <c r="BB234" s="214"/>
      <c r="BC234" s="214"/>
      <c r="BD234" s="214"/>
      <c r="BE234" s="214">
        <v>4400001</v>
      </c>
      <c r="BF234" s="214">
        <v>1</v>
      </c>
      <c r="BG234" s="201" t="s">
        <v>619</v>
      </c>
    </row>
    <row r="235" spans="1:60" ht="20.100000000000001" customHeight="1">
      <c r="H235" s="45"/>
      <c r="I235" s="45"/>
      <c r="J235" s="45"/>
      <c r="K235" s="45"/>
      <c r="L235" s="45"/>
      <c r="M235" s="45"/>
      <c r="N235" s="45"/>
      <c r="R235" s="45"/>
      <c r="S235" s="45"/>
      <c r="AB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5"/>
      <c r="BE235" s="45"/>
      <c r="BF235" s="45"/>
      <c r="BG235" s="45"/>
      <c r="BH235" s="45"/>
    </row>
    <row r="236" spans="1:60" ht="20.100000000000001" customHeight="1">
      <c r="H236" s="45"/>
      <c r="I236" s="45"/>
      <c r="J236" s="45"/>
      <c r="K236" s="45"/>
      <c r="L236" s="45"/>
      <c r="M236" s="45"/>
      <c r="N236" s="45"/>
      <c r="R236" s="45"/>
      <c r="S236" s="45"/>
      <c r="AB236" s="45"/>
      <c r="AE236" s="45"/>
      <c r="AF236" s="45"/>
      <c r="AG236" s="45"/>
      <c r="AH236" s="45"/>
      <c r="AI236" s="45"/>
      <c r="AJ236" s="45"/>
      <c r="AK236" s="45"/>
      <c r="AL236" s="45"/>
      <c r="AM236" s="45"/>
      <c r="AN236" s="45"/>
      <c r="AO236" s="45"/>
      <c r="AP236" s="45"/>
      <c r="AQ236" s="45"/>
      <c r="AR236" s="45"/>
      <c r="AS236" s="45"/>
      <c r="AT236" s="45"/>
      <c r="AU236" s="45"/>
      <c r="AV236" s="45"/>
      <c r="AW236" s="45"/>
      <c r="AX236" s="45"/>
      <c r="AY236" s="45"/>
      <c r="AZ236" s="45"/>
      <c r="BA236" s="45"/>
      <c r="BB236" s="45"/>
      <c r="BC236" s="45"/>
      <c r="BD236" s="45"/>
      <c r="BE236" s="45"/>
      <c r="BF236" s="45"/>
      <c r="BG236" s="45"/>
      <c r="BH236" s="45"/>
    </row>
    <row r="237" spans="1:60" ht="20.100000000000001" customHeight="1">
      <c r="H237" s="45"/>
      <c r="I237" s="45"/>
      <c r="J237" s="45"/>
      <c r="K237" s="45"/>
      <c r="L237" s="45"/>
      <c r="M237" s="45"/>
      <c r="N237" s="45"/>
      <c r="R237" s="45"/>
      <c r="S237" s="45"/>
      <c r="AB237" s="45"/>
      <c r="AE237" s="45"/>
      <c r="AF237" s="45"/>
      <c r="AG237" s="45"/>
      <c r="AH237" s="45"/>
      <c r="AI237" s="45"/>
      <c r="AJ237" s="45"/>
      <c r="AK237" s="45"/>
      <c r="AL237" s="45"/>
      <c r="AM237" s="45"/>
      <c r="AN237" s="45"/>
      <c r="AO237" s="45"/>
      <c r="AP237" s="45"/>
      <c r="AQ237" s="45"/>
      <c r="AR237" s="45"/>
      <c r="AS237" s="45"/>
      <c r="AT237" s="45"/>
      <c r="AU237" s="45"/>
      <c r="AV237" s="45"/>
      <c r="AW237" s="45"/>
      <c r="AX237" s="45"/>
      <c r="AY237" s="45"/>
      <c r="AZ237" s="45"/>
      <c r="BA237" s="45"/>
      <c r="BB237" s="45"/>
      <c r="BC237" s="45"/>
      <c r="BD237" s="45"/>
      <c r="BE237" s="45"/>
      <c r="BF237" s="45"/>
      <c r="BG237" s="45"/>
      <c r="BH237" s="45"/>
    </row>
    <row r="238" spans="1:60" ht="20.100000000000001" customHeight="1">
      <c r="H238" s="45"/>
      <c r="I238" s="45"/>
      <c r="J238" s="45"/>
      <c r="K238" s="45"/>
      <c r="L238" s="45"/>
      <c r="M238" s="45"/>
      <c r="N238" s="45"/>
      <c r="R238" s="45"/>
      <c r="S238" s="45"/>
      <c r="AB238" s="45"/>
      <c r="AE238" s="45"/>
      <c r="AF238" s="45"/>
      <c r="AG238" s="45"/>
      <c r="AH238" s="45"/>
      <c r="AI238" s="45"/>
      <c r="AJ238" s="45"/>
      <c r="AK238" s="45"/>
      <c r="AL238" s="45"/>
      <c r="AM238" s="45"/>
      <c r="AN238" s="45"/>
      <c r="AO238" s="45"/>
      <c r="AP238" s="45"/>
      <c r="AQ238" s="45"/>
      <c r="AR238" s="45"/>
      <c r="AS238" s="45"/>
      <c r="AT238" s="45"/>
      <c r="AU238" s="45"/>
      <c r="AV238" s="45"/>
      <c r="AW238" s="45"/>
      <c r="AX238" s="45"/>
      <c r="AY238" s="45"/>
      <c r="AZ238" s="45"/>
      <c r="BA238" s="45"/>
      <c r="BB238" s="45"/>
      <c r="BC238" s="45"/>
      <c r="BD238" s="45"/>
      <c r="BE238" s="45"/>
      <c r="BF238" s="45"/>
      <c r="BG238" s="45"/>
      <c r="BH238" s="45"/>
    </row>
    <row r="239" spans="1:60" ht="20.100000000000001" customHeight="1">
      <c r="H239" s="45"/>
      <c r="I239" s="45"/>
      <c r="J239" s="45"/>
      <c r="K239" s="45"/>
      <c r="L239" s="45"/>
      <c r="M239" s="45"/>
      <c r="N239" s="45"/>
      <c r="R239" s="45"/>
      <c r="S239" s="45"/>
      <c r="AB239" s="45"/>
      <c r="AE239" s="45"/>
      <c r="AF239" s="45"/>
      <c r="AG239" s="45"/>
      <c r="AH239" s="45"/>
      <c r="AI239" s="45"/>
      <c r="AJ239" s="45"/>
      <c r="AK239" s="45"/>
      <c r="AL239" s="45"/>
      <c r="AM239" s="45"/>
      <c r="AN239" s="45"/>
      <c r="AO239" s="45"/>
      <c r="AP239" s="45"/>
      <c r="AQ239" s="45"/>
      <c r="AR239" s="45"/>
      <c r="AS239" s="45"/>
      <c r="AT239" s="45"/>
      <c r="AU239" s="45"/>
      <c r="AV239" s="45"/>
      <c r="AW239" s="45"/>
      <c r="AX239" s="45"/>
      <c r="AY239" s="45"/>
      <c r="AZ239" s="45"/>
      <c r="BA239" s="45"/>
      <c r="BB239" s="45"/>
      <c r="BC239" s="45"/>
      <c r="BD239" s="45"/>
      <c r="BE239" s="45"/>
      <c r="BF239" s="45"/>
      <c r="BG239" s="45"/>
      <c r="BH239" s="45"/>
    </row>
    <row r="240" spans="1:60" ht="20.100000000000001" customHeight="1">
      <c r="H240" s="45"/>
      <c r="I240" s="45"/>
      <c r="J240" s="45"/>
      <c r="K240" s="45"/>
      <c r="L240" s="45"/>
      <c r="M240" s="45"/>
      <c r="N240" s="45"/>
      <c r="R240" s="45"/>
      <c r="S240" s="45"/>
      <c r="AB240" s="45"/>
      <c r="AE240" s="45"/>
      <c r="AF240" s="45"/>
      <c r="AG240" s="45"/>
      <c r="AH240" s="45"/>
      <c r="AI240" s="45"/>
      <c r="AJ240" s="45"/>
      <c r="AK240" s="45"/>
      <c r="AL240" s="45"/>
      <c r="AM240" s="45"/>
      <c r="AN240" s="45"/>
      <c r="AO240" s="45"/>
      <c r="AP240" s="45"/>
      <c r="AQ240" s="45"/>
      <c r="AR240" s="45"/>
      <c r="AS240" s="45"/>
      <c r="AT240" s="45"/>
      <c r="AU240" s="45"/>
      <c r="AV240" s="45"/>
      <c r="AW240" s="45"/>
      <c r="AX240" s="45"/>
      <c r="AY240" s="45"/>
      <c r="AZ240" s="45"/>
      <c r="BA240" s="45"/>
      <c r="BB240" s="45"/>
      <c r="BC240" s="45"/>
      <c r="BD240" s="45"/>
      <c r="BE240" s="45"/>
      <c r="BF240" s="45"/>
      <c r="BG240" s="45"/>
      <c r="BH240" s="45"/>
    </row>
    <row r="241" spans="8:60" ht="20.100000000000001" customHeight="1">
      <c r="H241" s="45"/>
      <c r="I241" s="45"/>
      <c r="J241" s="45"/>
      <c r="K241" s="45"/>
      <c r="L241" s="45"/>
      <c r="M241" s="45"/>
      <c r="N241" s="45"/>
      <c r="R241" s="45"/>
      <c r="S241" s="45"/>
      <c r="AB241" s="45"/>
      <c r="AE241" s="45"/>
      <c r="AF241" s="45"/>
      <c r="AG241" s="45"/>
      <c r="AH241" s="45"/>
      <c r="AI241" s="45"/>
      <c r="AJ241" s="45"/>
      <c r="AK241" s="45"/>
      <c r="AL241" s="45"/>
      <c r="AM241" s="45"/>
      <c r="AN241" s="45"/>
      <c r="AO241" s="45"/>
      <c r="AP241" s="45"/>
      <c r="AQ241" s="45"/>
      <c r="AR241" s="45"/>
      <c r="AS241" s="45"/>
      <c r="AT241" s="45"/>
      <c r="AU241" s="45"/>
      <c r="AV241" s="45"/>
      <c r="AW241" s="45"/>
      <c r="AX241" s="45"/>
      <c r="AY241" s="45"/>
      <c r="AZ241" s="45"/>
      <c r="BA241" s="45"/>
      <c r="BB241" s="45"/>
      <c r="BC241" s="45"/>
      <c r="BD241" s="45"/>
      <c r="BE241" s="45"/>
      <c r="BF241" s="45"/>
      <c r="BG241" s="45"/>
      <c r="BH241" s="45"/>
    </row>
    <row r="242" spans="8:60" ht="20.100000000000001" customHeight="1">
      <c r="H242" s="45"/>
      <c r="I242" s="45"/>
      <c r="J242" s="45"/>
      <c r="K242" s="45"/>
      <c r="L242" s="45"/>
      <c r="M242" s="45"/>
      <c r="N242" s="45"/>
      <c r="R242" s="45"/>
      <c r="S242" s="45"/>
      <c r="AB242" s="45"/>
      <c r="AE242" s="45"/>
      <c r="AF242" s="45"/>
      <c r="AG242" s="45"/>
      <c r="AH242" s="45"/>
      <c r="AI242" s="45"/>
      <c r="AJ242" s="45"/>
      <c r="AK242" s="45"/>
      <c r="AL242" s="45"/>
      <c r="AM242" s="45"/>
      <c r="AN242" s="45"/>
      <c r="AO242" s="45"/>
      <c r="AP242" s="45"/>
      <c r="AQ242" s="45"/>
      <c r="AR242" s="45"/>
      <c r="AS242" s="45"/>
      <c r="AT242" s="45"/>
      <c r="AU242" s="45"/>
      <c r="AV242" s="45"/>
      <c r="AW242" s="45"/>
      <c r="AX242" s="45"/>
      <c r="AY242" s="45"/>
      <c r="AZ242" s="45"/>
      <c r="BA242" s="45"/>
      <c r="BB242" s="45"/>
      <c r="BC242" s="45"/>
      <c r="BD242" s="45"/>
      <c r="BE242" s="45"/>
      <c r="BF242" s="45"/>
      <c r="BG242" s="45"/>
      <c r="BH242" s="45"/>
    </row>
    <row r="243" spans="8:60" ht="20.100000000000001" customHeight="1">
      <c r="H243" s="45"/>
      <c r="I243" s="45"/>
      <c r="J243" s="45"/>
      <c r="K243" s="45"/>
      <c r="L243" s="45"/>
      <c r="M243" s="45"/>
      <c r="N243" s="45"/>
      <c r="R243" s="45"/>
      <c r="S243" s="45"/>
      <c r="AB243" s="45"/>
      <c r="AE243" s="45"/>
      <c r="AF243" s="45"/>
      <c r="AG243" s="45"/>
      <c r="AH243" s="45"/>
      <c r="AI243" s="45"/>
      <c r="AJ243" s="45"/>
      <c r="AK243" s="45"/>
      <c r="AL243" s="45"/>
      <c r="AM243" s="45"/>
      <c r="AN243" s="45"/>
      <c r="AO243" s="45"/>
      <c r="AP243" s="45"/>
      <c r="AQ243" s="45"/>
      <c r="AR243" s="45"/>
      <c r="AS243" s="45"/>
      <c r="AT243" s="45"/>
      <c r="AU243" s="45"/>
      <c r="AV243" s="45"/>
      <c r="AW243" s="45"/>
      <c r="AX243" s="45"/>
      <c r="AY243" s="45"/>
      <c r="AZ243" s="45"/>
      <c r="BA243" s="45"/>
      <c r="BB243" s="45"/>
      <c r="BC243" s="45"/>
      <c r="BD243" s="45"/>
      <c r="BE243" s="45"/>
      <c r="BF243" s="45"/>
      <c r="BG243" s="45"/>
      <c r="BH243" s="45"/>
    </row>
    <row r="244" spans="8:60" ht="20.100000000000001" customHeight="1">
      <c r="H244" s="45"/>
      <c r="I244" s="45"/>
      <c r="J244" s="45"/>
      <c r="K244" s="45"/>
      <c r="L244" s="45"/>
      <c r="M244" s="45"/>
      <c r="N244" s="45"/>
      <c r="R244" s="45"/>
      <c r="S244" s="45"/>
      <c r="AB244" s="45"/>
      <c r="AE244" s="45"/>
      <c r="AF244" s="45"/>
      <c r="AG244" s="45"/>
      <c r="AH244" s="45"/>
      <c r="AI244" s="45"/>
      <c r="AJ244" s="45"/>
      <c r="AK244" s="45"/>
      <c r="AL244" s="45"/>
      <c r="AM244" s="45"/>
      <c r="AN244" s="45"/>
      <c r="AO244" s="45"/>
      <c r="AP244" s="45"/>
      <c r="AQ244" s="45"/>
      <c r="AR244" s="45"/>
      <c r="AS244" s="45"/>
      <c r="AT244" s="45"/>
      <c r="AU244" s="45"/>
      <c r="AV244" s="45"/>
      <c r="AW244" s="45"/>
      <c r="AX244" s="45"/>
      <c r="AY244" s="45"/>
      <c r="AZ244" s="45"/>
      <c r="BA244" s="45"/>
      <c r="BB244" s="45"/>
      <c r="BC244" s="45"/>
      <c r="BD244" s="45"/>
      <c r="BE244" s="45"/>
      <c r="BF244" s="45"/>
      <c r="BG244" s="45"/>
      <c r="BH244" s="45"/>
    </row>
    <row r="245" spans="8:60" ht="20.100000000000001" customHeight="1">
      <c r="H245" s="45"/>
      <c r="I245" s="45"/>
      <c r="J245" s="45"/>
      <c r="K245" s="45"/>
      <c r="L245" s="45"/>
      <c r="M245" s="45"/>
      <c r="N245" s="45"/>
      <c r="R245" s="45"/>
      <c r="S245" s="45"/>
      <c r="AB245" s="45"/>
      <c r="AE245" s="45"/>
      <c r="AF245" s="45"/>
      <c r="AG245" s="45"/>
      <c r="AH245" s="45"/>
      <c r="AI245" s="45"/>
      <c r="AJ245" s="45"/>
      <c r="AK245" s="45"/>
      <c r="AL245" s="45"/>
      <c r="AM245" s="45"/>
      <c r="AN245" s="45"/>
      <c r="AO245" s="45"/>
      <c r="AP245" s="45"/>
      <c r="AQ245" s="45"/>
      <c r="AR245" s="45"/>
      <c r="AS245" s="45"/>
      <c r="AT245" s="45"/>
      <c r="AU245" s="45"/>
      <c r="AV245" s="45"/>
      <c r="AW245" s="45"/>
      <c r="AX245" s="45"/>
      <c r="AY245" s="45"/>
      <c r="AZ245" s="45"/>
      <c r="BA245" s="45"/>
      <c r="BB245" s="45"/>
      <c r="BC245" s="45"/>
      <c r="BD245" s="45"/>
      <c r="BE245" s="45"/>
      <c r="BF245" s="45"/>
      <c r="BG245" s="45"/>
      <c r="BH245" s="45"/>
    </row>
    <row r="246" spans="8:60" ht="20.100000000000001" customHeight="1">
      <c r="H246" s="45"/>
      <c r="I246" s="45"/>
      <c r="J246" s="45"/>
      <c r="K246" s="45"/>
      <c r="L246" s="45"/>
      <c r="M246" s="45"/>
      <c r="N246" s="45"/>
      <c r="R246" s="45"/>
      <c r="S246" s="45"/>
      <c r="AB246" s="45"/>
      <c r="AE246" s="45"/>
      <c r="AF246" s="45"/>
      <c r="AG246" s="45"/>
      <c r="AH246" s="45"/>
      <c r="AI246" s="45"/>
      <c r="AJ246" s="45"/>
      <c r="AK246" s="45"/>
      <c r="AL246" s="45"/>
      <c r="AM246" s="45"/>
      <c r="AN246" s="45"/>
      <c r="AO246" s="45"/>
      <c r="AP246" s="45"/>
      <c r="AQ246" s="45"/>
      <c r="AR246" s="45"/>
      <c r="AS246" s="45"/>
      <c r="AT246" s="45"/>
      <c r="AU246" s="45"/>
      <c r="AV246" s="45"/>
      <c r="AW246" s="45"/>
      <c r="AX246" s="45"/>
      <c r="AY246" s="45"/>
      <c r="AZ246" s="45"/>
      <c r="BA246" s="45"/>
      <c r="BB246" s="45"/>
      <c r="BC246" s="45"/>
      <c r="BD246" s="45"/>
      <c r="BE246" s="45"/>
      <c r="BF246" s="45"/>
      <c r="BG246" s="45"/>
      <c r="BH246" s="45"/>
    </row>
    <row r="247" spans="8:60" ht="20.100000000000001" customHeight="1">
      <c r="H247" s="45"/>
      <c r="I247" s="45"/>
      <c r="J247" s="45"/>
      <c r="K247" s="45"/>
      <c r="L247" s="45"/>
      <c r="M247" s="45"/>
      <c r="N247" s="45"/>
      <c r="R247" s="45"/>
      <c r="S247" s="45"/>
      <c r="AB247" s="45"/>
      <c r="AE247" s="45"/>
      <c r="AF247" s="45"/>
      <c r="AG247" s="45"/>
      <c r="AH247" s="45"/>
      <c r="AI247" s="45"/>
      <c r="AJ247" s="45"/>
      <c r="AK247" s="45"/>
      <c r="AL247" s="45"/>
      <c r="AM247" s="45"/>
      <c r="AN247" s="45"/>
      <c r="AO247" s="45"/>
      <c r="AP247" s="45"/>
      <c r="AQ247" s="45"/>
      <c r="AR247" s="45"/>
      <c r="AS247" s="45"/>
      <c r="AT247" s="45"/>
      <c r="AU247" s="45"/>
      <c r="AV247" s="45"/>
      <c r="AW247" s="45"/>
      <c r="AX247" s="45"/>
      <c r="AY247" s="45"/>
      <c r="AZ247" s="45"/>
      <c r="BA247" s="45"/>
      <c r="BB247" s="45"/>
      <c r="BC247" s="45"/>
      <c r="BD247" s="45"/>
      <c r="BE247" s="45"/>
      <c r="BF247" s="45"/>
      <c r="BG247" s="45"/>
      <c r="BH247" s="45"/>
    </row>
    <row r="248" spans="8:60" ht="20.100000000000001" customHeight="1">
      <c r="H248" s="45"/>
      <c r="I248" s="45"/>
      <c r="J248" s="45"/>
      <c r="K248" s="45"/>
      <c r="L248" s="45"/>
      <c r="M248" s="45"/>
      <c r="N248" s="45"/>
      <c r="R248" s="45"/>
      <c r="S248" s="45"/>
      <c r="AB248" s="45"/>
      <c r="AE248" s="45"/>
      <c r="AF248" s="45"/>
      <c r="AG248" s="45"/>
      <c r="AH248" s="45"/>
      <c r="AI248" s="45"/>
      <c r="AJ248" s="45"/>
      <c r="AK248" s="45"/>
      <c r="AL248" s="45"/>
      <c r="AM248" s="45"/>
      <c r="AN248" s="45"/>
      <c r="AO248" s="45"/>
      <c r="AP248" s="45"/>
      <c r="AQ248" s="45"/>
      <c r="AR248" s="45"/>
      <c r="AS248" s="45"/>
      <c r="AT248" s="45"/>
      <c r="AU248" s="45"/>
      <c r="AV248" s="45"/>
      <c r="AW248" s="45"/>
      <c r="AX248" s="45"/>
      <c r="AY248" s="45"/>
      <c r="AZ248" s="45"/>
      <c r="BA248" s="45"/>
      <c r="BB248" s="45"/>
      <c r="BC248" s="45"/>
      <c r="BD248" s="45"/>
      <c r="BE248" s="45"/>
      <c r="BF248" s="45"/>
      <c r="BG248" s="45"/>
      <c r="BH248" s="45"/>
    </row>
    <row r="249" spans="8:60" ht="20.100000000000001" customHeight="1">
      <c r="H249" s="45"/>
      <c r="I249" s="45"/>
      <c r="J249" s="45"/>
      <c r="K249" s="45"/>
      <c r="L249" s="45"/>
      <c r="M249" s="45"/>
      <c r="N249" s="45"/>
      <c r="R249" s="45"/>
      <c r="S249" s="45"/>
      <c r="AB249" s="45"/>
      <c r="AE249" s="45"/>
      <c r="AF249" s="45"/>
      <c r="AG249" s="45"/>
      <c r="AH249" s="45"/>
      <c r="AI249" s="45"/>
      <c r="AJ249" s="45"/>
      <c r="AK249" s="45"/>
      <c r="AL249" s="45"/>
      <c r="AM249" s="45"/>
      <c r="AN249" s="45"/>
      <c r="AO249" s="45"/>
      <c r="AP249" s="45"/>
      <c r="AQ249" s="45"/>
      <c r="AR249" s="45"/>
      <c r="AS249" s="45"/>
      <c r="AT249" s="45"/>
      <c r="AU249" s="45"/>
      <c r="AV249" s="45"/>
      <c r="AW249" s="45"/>
      <c r="AX249" s="45"/>
      <c r="AY249" s="45"/>
      <c r="AZ249" s="45"/>
      <c r="BA249" s="45"/>
      <c r="BB249" s="45"/>
      <c r="BC249" s="45"/>
      <c r="BD249" s="45"/>
      <c r="BE249" s="45"/>
      <c r="BF249" s="45"/>
      <c r="BG249" s="45"/>
      <c r="BH249" s="45"/>
    </row>
    <row r="250" spans="8:60" ht="20.100000000000001" customHeight="1">
      <c r="H250" s="45"/>
      <c r="I250" s="45"/>
      <c r="J250" s="45"/>
      <c r="K250" s="45"/>
      <c r="L250" s="45"/>
      <c r="M250" s="45"/>
      <c r="N250" s="45"/>
      <c r="R250" s="45"/>
      <c r="S250" s="45"/>
      <c r="AB250" s="45"/>
      <c r="AE250" s="45"/>
      <c r="AF250" s="45"/>
      <c r="AG250" s="45"/>
      <c r="AH250" s="45"/>
      <c r="AI250" s="45"/>
      <c r="AJ250" s="45"/>
      <c r="AK250" s="45"/>
      <c r="AL250" s="45"/>
      <c r="AM250" s="45"/>
      <c r="AN250" s="45"/>
      <c r="AO250" s="45"/>
      <c r="AP250" s="45"/>
      <c r="AQ250" s="45"/>
      <c r="AR250" s="45"/>
      <c r="AS250" s="45"/>
      <c r="AT250" s="45"/>
      <c r="AU250" s="45"/>
      <c r="AV250" s="45"/>
      <c r="AW250" s="45"/>
      <c r="AX250" s="45"/>
      <c r="AY250" s="45"/>
      <c r="AZ250" s="45"/>
      <c r="BA250" s="45"/>
      <c r="BB250" s="45"/>
      <c r="BC250" s="45"/>
      <c r="BD250" s="45"/>
      <c r="BE250" s="45"/>
      <c r="BF250" s="45"/>
      <c r="BG250" s="45"/>
      <c r="BH250" s="45"/>
    </row>
    <row r="251" spans="8:60" ht="20.100000000000001" customHeight="1">
      <c r="H251" s="45"/>
      <c r="I251" s="45"/>
      <c r="J251" s="45"/>
      <c r="K251" s="45"/>
      <c r="L251" s="45"/>
      <c r="M251" s="45"/>
      <c r="N251" s="45"/>
      <c r="R251" s="45"/>
      <c r="S251" s="45"/>
      <c r="AB251" s="45"/>
      <c r="AE251" s="45"/>
      <c r="AF251" s="45"/>
      <c r="AG251" s="45"/>
      <c r="AH251" s="45"/>
      <c r="AI251" s="45"/>
      <c r="AJ251" s="45"/>
      <c r="AK251" s="45"/>
      <c r="AL251" s="45"/>
      <c r="AM251" s="45"/>
      <c r="AN251" s="45"/>
      <c r="AO251" s="45"/>
      <c r="AP251" s="45"/>
      <c r="AQ251" s="45"/>
      <c r="AR251" s="45"/>
      <c r="AS251" s="45"/>
      <c r="AT251" s="45"/>
      <c r="AU251" s="45"/>
      <c r="AV251" s="45"/>
      <c r="AW251" s="45"/>
      <c r="AX251" s="45"/>
      <c r="AY251" s="45"/>
      <c r="AZ251" s="45"/>
      <c r="BA251" s="45"/>
      <c r="BB251" s="45"/>
      <c r="BC251" s="45"/>
      <c r="BD251" s="45"/>
      <c r="BE251" s="45"/>
      <c r="BF251" s="45"/>
      <c r="BG251" s="45"/>
      <c r="BH251" s="45"/>
    </row>
    <row r="252" spans="8:60" ht="20.100000000000001" customHeight="1">
      <c r="H252" s="45"/>
      <c r="I252" s="45"/>
      <c r="J252" s="45"/>
      <c r="K252" s="45"/>
      <c r="L252" s="45"/>
      <c r="M252" s="45"/>
      <c r="N252" s="45"/>
      <c r="R252" s="45"/>
      <c r="S252" s="45"/>
      <c r="AB252" s="45"/>
      <c r="AE252" s="45"/>
      <c r="AF252" s="45"/>
      <c r="AG252" s="45"/>
      <c r="AH252" s="45"/>
      <c r="AI252" s="45"/>
      <c r="AJ252" s="45"/>
      <c r="AK252" s="45"/>
      <c r="AL252" s="45"/>
      <c r="AM252" s="45"/>
      <c r="AN252" s="45"/>
      <c r="AO252" s="45"/>
      <c r="AP252" s="45"/>
      <c r="AQ252" s="45"/>
      <c r="AR252" s="45"/>
      <c r="AS252" s="45"/>
      <c r="AT252" s="45"/>
      <c r="AU252" s="45"/>
      <c r="AV252" s="45"/>
      <c r="AW252" s="45"/>
      <c r="AX252" s="45"/>
      <c r="AY252" s="45"/>
      <c r="AZ252" s="45"/>
      <c r="BA252" s="45"/>
      <c r="BB252" s="45"/>
      <c r="BC252" s="45"/>
      <c r="BD252" s="45"/>
      <c r="BE252" s="45"/>
      <c r="BF252" s="45"/>
      <c r="BG252" s="45"/>
      <c r="BH252" s="45"/>
    </row>
    <row r="253" spans="8:60" ht="20.100000000000001" customHeight="1">
      <c r="H253" s="45"/>
      <c r="I253" s="45"/>
      <c r="J253" s="45"/>
      <c r="K253" s="45"/>
      <c r="L253" s="45"/>
      <c r="M253" s="45"/>
      <c r="N253" s="45"/>
      <c r="R253" s="45"/>
      <c r="S253" s="45"/>
      <c r="AB253" s="45"/>
      <c r="AE253" s="45"/>
      <c r="AF253" s="45"/>
      <c r="AG253" s="45"/>
      <c r="AH253" s="45"/>
      <c r="AI253" s="45"/>
      <c r="AJ253" s="45"/>
      <c r="AK253" s="45"/>
      <c r="AL253" s="45"/>
      <c r="AM253" s="45"/>
      <c r="AN253" s="45"/>
      <c r="AO253" s="45"/>
      <c r="AP253" s="45"/>
      <c r="AQ253" s="45"/>
      <c r="AR253" s="45"/>
      <c r="AS253" s="45"/>
      <c r="AT253" s="45"/>
      <c r="AU253" s="45"/>
      <c r="AV253" s="45"/>
      <c r="AW253" s="45"/>
      <c r="AX253" s="45"/>
      <c r="AY253" s="45"/>
      <c r="AZ253" s="45"/>
      <c r="BA253" s="45"/>
      <c r="BB253" s="45"/>
      <c r="BC253" s="45"/>
      <c r="BD253" s="45"/>
      <c r="BE253" s="45"/>
      <c r="BF253" s="45"/>
      <c r="BG253" s="45"/>
      <c r="BH253" s="45"/>
    </row>
    <row r="254" spans="8:60" ht="20.100000000000001" customHeight="1">
      <c r="H254" s="45"/>
      <c r="I254" s="45"/>
      <c r="J254" s="45"/>
      <c r="K254" s="45"/>
      <c r="L254" s="45"/>
      <c r="M254" s="45"/>
      <c r="N254" s="45"/>
      <c r="R254" s="45"/>
      <c r="S254" s="45"/>
      <c r="AB254" s="45"/>
      <c r="AE254" s="45"/>
      <c r="AF254" s="45"/>
      <c r="AG254" s="45"/>
      <c r="AH254" s="45"/>
      <c r="AI254" s="45"/>
      <c r="AJ254" s="45"/>
      <c r="AK254" s="45"/>
      <c r="AL254" s="45"/>
      <c r="AM254" s="45"/>
      <c r="AN254" s="45"/>
      <c r="AO254" s="45"/>
      <c r="AP254" s="45"/>
      <c r="AQ254" s="45"/>
      <c r="AR254" s="45"/>
      <c r="AS254" s="45"/>
      <c r="AT254" s="45"/>
      <c r="AU254" s="45"/>
      <c r="AV254" s="45"/>
      <c r="AW254" s="45"/>
      <c r="AX254" s="45"/>
      <c r="AY254" s="45"/>
      <c r="AZ254" s="45"/>
      <c r="BA254" s="45"/>
      <c r="BB254" s="45"/>
      <c r="BC254" s="45"/>
      <c r="BD254" s="45"/>
      <c r="BE254" s="45"/>
      <c r="BF254" s="45"/>
      <c r="BG254" s="45"/>
      <c r="BH254" s="45"/>
    </row>
    <row r="255" spans="8:60" ht="20.100000000000001" customHeight="1">
      <c r="H255" s="45"/>
      <c r="I255" s="45"/>
      <c r="J255" s="45"/>
      <c r="K255" s="45"/>
      <c r="L255" s="45"/>
      <c r="M255" s="45"/>
      <c r="N255" s="45"/>
      <c r="R255" s="45"/>
      <c r="S255" s="45"/>
      <c r="AB255" s="45"/>
      <c r="AE255" s="45"/>
      <c r="AF255" s="45"/>
      <c r="AG255" s="45"/>
      <c r="AH255" s="45"/>
      <c r="AI255" s="45"/>
      <c r="AJ255" s="45"/>
      <c r="AK255" s="45"/>
      <c r="AL255" s="45"/>
      <c r="AM255" s="45"/>
      <c r="AN255" s="45"/>
      <c r="AO255" s="45"/>
      <c r="AP255" s="45"/>
      <c r="AQ255" s="45"/>
      <c r="AR255" s="45"/>
      <c r="AS255" s="45"/>
      <c r="AT255" s="45"/>
      <c r="AU255" s="45"/>
      <c r="AV255" s="45"/>
      <c r="AW255" s="45"/>
      <c r="AX255" s="45"/>
      <c r="AY255" s="45"/>
      <c r="AZ255" s="45"/>
      <c r="BA255" s="45"/>
      <c r="BB255" s="45"/>
      <c r="BC255" s="45"/>
      <c r="BD255" s="45"/>
      <c r="BE255" s="45"/>
      <c r="BF255" s="45"/>
      <c r="BG255" s="45"/>
      <c r="BH255" s="45"/>
    </row>
    <row r="256" spans="8:60" ht="20.100000000000001" customHeight="1">
      <c r="H256" s="45"/>
      <c r="I256" s="45"/>
      <c r="J256" s="45"/>
      <c r="K256" s="45"/>
      <c r="L256" s="45"/>
      <c r="M256" s="45"/>
      <c r="N256" s="45"/>
      <c r="R256" s="45"/>
      <c r="S256" s="45"/>
      <c r="AB256" s="45"/>
      <c r="AE256" s="45"/>
      <c r="AF256" s="45"/>
      <c r="AG256" s="45"/>
      <c r="AH256" s="45"/>
      <c r="AI256" s="45"/>
      <c r="AJ256" s="45"/>
      <c r="AK256" s="45"/>
      <c r="AL256" s="45"/>
      <c r="AM256" s="45"/>
      <c r="AN256" s="45"/>
      <c r="AO256" s="45"/>
      <c r="AP256" s="45"/>
      <c r="AQ256" s="45"/>
      <c r="AR256" s="45"/>
      <c r="AS256" s="45"/>
      <c r="AT256" s="45"/>
      <c r="AU256" s="45"/>
      <c r="AV256" s="45"/>
      <c r="AW256" s="45"/>
      <c r="AX256" s="45"/>
      <c r="AY256" s="45"/>
      <c r="AZ256" s="45"/>
      <c r="BA256" s="45"/>
      <c r="BB256" s="45"/>
      <c r="BC256" s="45"/>
      <c r="BD256" s="45"/>
      <c r="BE256" s="45"/>
      <c r="BF256" s="45"/>
      <c r="BG256" s="45"/>
      <c r="BH256" s="45"/>
    </row>
    <row r="257" spans="8:60" ht="20.100000000000001" customHeight="1">
      <c r="H257" s="45"/>
      <c r="I257" s="45"/>
      <c r="J257" s="45"/>
      <c r="K257" s="45"/>
      <c r="L257" s="45"/>
      <c r="M257" s="45"/>
      <c r="N257" s="45"/>
      <c r="R257" s="45"/>
      <c r="S257" s="45"/>
      <c r="AB257" s="45"/>
      <c r="AE257" s="45"/>
      <c r="AF257" s="45"/>
      <c r="AG257" s="45"/>
      <c r="AH257" s="45"/>
      <c r="AI257" s="45"/>
      <c r="AJ257" s="45"/>
      <c r="AK257" s="45"/>
      <c r="AL257" s="45"/>
      <c r="AM257" s="45"/>
      <c r="AN257" s="45"/>
      <c r="AO257" s="45"/>
      <c r="AP257" s="45"/>
      <c r="AQ257" s="45"/>
      <c r="AR257" s="45"/>
      <c r="AS257" s="45"/>
      <c r="AT257" s="45"/>
      <c r="AU257" s="45"/>
      <c r="AV257" s="45"/>
      <c r="AW257" s="45"/>
      <c r="AX257" s="45"/>
      <c r="AY257" s="45"/>
      <c r="AZ257" s="45"/>
      <c r="BA257" s="45"/>
      <c r="BB257" s="45"/>
      <c r="BC257" s="45"/>
      <c r="BD257" s="45"/>
      <c r="BE257" s="45"/>
      <c r="BF257" s="45"/>
      <c r="BG257" s="45"/>
      <c r="BH257" s="45"/>
    </row>
    <row r="258" spans="8:60" ht="20.100000000000001" customHeight="1">
      <c r="H258" s="45"/>
      <c r="I258" s="45"/>
      <c r="J258" s="45"/>
      <c r="K258" s="45"/>
      <c r="L258" s="45"/>
      <c r="M258" s="45"/>
      <c r="N258" s="45"/>
      <c r="R258" s="45"/>
      <c r="S258" s="45"/>
      <c r="AB258" s="45"/>
      <c r="AE258" s="45"/>
      <c r="AF258" s="45"/>
      <c r="AG258" s="45"/>
      <c r="AH258" s="45"/>
      <c r="AI258" s="45"/>
      <c r="AJ258" s="45"/>
      <c r="AK258" s="45"/>
      <c r="AL258" s="45"/>
      <c r="AM258" s="45"/>
      <c r="AN258" s="45"/>
      <c r="AO258" s="45"/>
      <c r="AP258" s="45"/>
      <c r="AQ258" s="45"/>
      <c r="AR258" s="45"/>
      <c r="AS258" s="45"/>
      <c r="AT258" s="45"/>
      <c r="AU258" s="45"/>
      <c r="AV258" s="45"/>
      <c r="AW258" s="45"/>
      <c r="AX258" s="45"/>
      <c r="AY258" s="45"/>
      <c r="AZ258" s="45"/>
      <c r="BA258" s="45"/>
      <c r="BB258" s="45"/>
      <c r="BC258" s="45"/>
      <c r="BD258" s="45"/>
      <c r="BE258" s="45"/>
      <c r="BF258" s="45"/>
      <c r="BG258" s="45"/>
      <c r="BH258" s="45"/>
    </row>
    <row r="259" spans="8:60" ht="20.100000000000001" customHeight="1">
      <c r="H259" s="45"/>
      <c r="I259" s="45"/>
      <c r="J259" s="45"/>
      <c r="K259" s="45"/>
      <c r="L259" s="45"/>
      <c r="M259" s="45"/>
      <c r="N259" s="45"/>
      <c r="R259" s="45"/>
      <c r="S259" s="45"/>
      <c r="AB259" s="45"/>
      <c r="AE259" s="45"/>
      <c r="AF259" s="45"/>
      <c r="AG259" s="45"/>
      <c r="AH259" s="45"/>
      <c r="AI259" s="45"/>
      <c r="AJ259" s="45"/>
      <c r="AK259" s="45"/>
      <c r="AL259" s="45"/>
      <c r="AM259" s="45"/>
      <c r="AN259" s="45"/>
      <c r="AO259" s="45"/>
      <c r="AP259" s="45"/>
      <c r="AQ259" s="45"/>
      <c r="AR259" s="45"/>
      <c r="AS259" s="45"/>
      <c r="AT259" s="45"/>
      <c r="AU259" s="45"/>
      <c r="AV259" s="45"/>
      <c r="AW259" s="45"/>
      <c r="AX259" s="45"/>
      <c r="AY259" s="45"/>
      <c r="AZ259" s="45"/>
      <c r="BA259" s="45"/>
      <c r="BB259" s="45"/>
      <c r="BC259" s="45"/>
      <c r="BD259" s="45"/>
      <c r="BE259" s="45"/>
      <c r="BF259" s="45"/>
      <c r="BG259" s="45"/>
      <c r="BH259" s="45"/>
    </row>
    <row r="260" spans="8:60" ht="20.100000000000001" customHeight="1">
      <c r="H260" s="45"/>
      <c r="I260" s="45"/>
      <c r="J260" s="45"/>
      <c r="K260" s="45"/>
      <c r="L260" s="45"/>
      <c r="M260" s="45"/>
      <c r="N260" s="45"/>
      <c r="R260" s="45"/>
      <c r="S260" s="45"/>
      <c r="AB260" s="45"/>
      <c r="AE260" s="45"/>
      <c r="AF260" s="45"/>
      <c r="AG260" s="45"/>
      <c r="AH260" s="45"/>
      <c r="AI260" s="45"/>
      <c r="AJ260" s="45"/>
      <c r="AK260" s="45"/>
      <c r="AL260" s="45"/>
      <c r="AM260" s="45"/>
      <c r="AN260" s="45"/>
      <c r="AO260" s="45"/>
      <c r="AP260" s="45"/>
      <c r="AQ260" s="45"/>
      <c r="AR260" s="45"/>
      <c r="AS260" s="45"/>
      <c r="AT260" s="45"/>
      <c r="AU260" s="45"/>
      <c r="AV260" s="45"/>
      <c r="AW260" s="45"/>
      <c r="AX260" s="45"/>
      <c r="AY260" s="45"/>
      <c r="AZ260" s="45"/>
      <c r="BA260" s="45"/>
      <c r="BB260" s="45"/>
      <c r="BC260" s="45"/>
      <c r="BD260" s="45"/>
      <c r="BE260" s="45"/>
      <c r="BF260" s="45"/>
      <c r="BG260" s="45"/>
      <c r="BH260" s="45"/>
    </row>
    <row r="261" spans="8:60" ht="20.100000000000001" customHeight="1">
      <c r="H261" s="45"/>
      <c r="I261" s="45"/>
      <c r="J261" s="45"/>
      <c r="K261" s="45"/>
      <c r="L261" s="45"/>
      <c r="M261" s="45"/>
      <c r="N261" s="45"/>
      <c r="R261" s="45"/>
      <c r="S261" s="45"/>
      <c r="AB261" s="45"/>
      <c r="AE261" s="45"/>
      <c r="AF261" s="45"/>
      <c r="AG261" s="45"/>
      <c r="AH261" s="45"/>
      <c r="AI261" s="45"/>
      <c r="AJ261" s="45"/>
      <c r="AK261" s="45"/>
      <c r="AL261" s="45"/>
      <c r="AM261" s="45"/>
      <c r="AN261" s="45"/>
      <c r="AO261" s="45"/>
      <c r="AP261" s="45"/>
      <c r="AQ261" s="45"/>
      <c r="AR261" s="45"/>
      <c r="AS261" s="45"/>
      <c r="AT261" s="45"/>
      <c r="AU261" s="45"/>
      <c r="AV261" s="45"/>
      <c r="AW261" s="45"/>
      <c r="AX261" s="45"/>
      <c r="AY261" s="45"/>
      <c r="AZ261" s="45"/>
      <c r="BA261" s="45"/>
      <c r="BB261" s="45"/>
      <c r="BC261" s="45"/>
      <c r="BD261" s="45"/>
      <c r="BE261" s="45"/>
      <c r="BF261" s="45"/>
      <c r="BG261" s="45"/>
      <c r="BH261" s="45"/>
    </row>
    <row r="262" spans="8:60" ht="20.100000000000001" customHeight="1">
      <c r="H262" s="45"/>
      <c r="I262" s="45"/>
      <c r="J262" s="45"/>
      <c r="K262" s="45"/>
      <c r="L262" s="45"/>
      <c r="M262" s="45"/>
      <c r="N262" s="45"/>
      <c r="R262" s="45"/>
      <c r="S262" s="45"/>
      <c r="AB262" s="45"/>
      <c r="AE262" s="45"/>
      <c r="AF262" s="45"/>
      <c r="AG262" s="45"/>
      <c r="AH262" s="45"/>
      <c r="AI262" s="45"/>
      <c r="AJ262" s="45"/>
      <c r="AK262" s="45"/>
      <c r="AL262" s="45"/>
      <c r="AM262" s="45"/>
      <c r="AN262" s="45"/>
      <c r="AO262" s="45"/>
      <c r="AP262" s="45"/>
      <c r="AQ262" s="45"/>
      <c r="AR262" s="45"/>
      <c r="AS262" s="45"/>
      <c r="AT262" s="45"/>
      <c r="AU262" s="45"/>
      <c r="AV262" s="45"/>
      <c r="AW262" s="45"/>
      <c r="AX262" s="45"/>
      <c r="AY262" s="45"/>
      <c r="AZ262" s="45"/>
      <c r="BA262" s="45"/>
      <c r="BB262" s="45"/>
      <c r="BC262" s="45"/>
      <c r="BD262" s="45"/>
      <c r="BE262" s="45"/>
      <c r="BF262" s="45"/>
      <c r="BG262" s="45"/>
      <c r="BH262" s="45"/>
    </row>
    <row r="263" spans="8:60" ht="20.100000000000001" customHeight="1">
      <c r="H263" s="45"/>
      <c r="I263" s="45"/>
      <c r="J263" s="45"/>
      <c r="K263" s="45"/>
      <c r="L263" s="45"/>
      <c r="M263" s="45"/>
      <c r="N263" s="45"/>
      <c r="R263" s="45"/>
      <c r="S263" s="45"/>
      <c r="AB263" s="45"/>
      <c r="AE263" s="45"/>
      <c r="AF263" s="45"/>
      <c r="AG263" s="45"/>
      <c r="AH263" s="45"/>
      <c r="AI263" s="45"/>
      <c r="AJ263" s="45"/>
      <c r="AK263" s="45"/>
      <c r="AL263" s="45"/>
      <c r="AM263" s="45"/>
      <c r="AN263" s="45"/>
      <c r="AO263" s="45"/>
      <c r="AP263" s="45"/>
      <c r="AQ263" s="45"/>
      <c r="AR263" s="45"/>
      <c r="AS263" s="45"/>
      <c r="AT263" s="45"/>
      <c r="AU263" s="45"/>
      <c r="AV263" s="45"/>
      <c r="AW263" s="45"/>
      <c r="AX263" s="45"/>
      <c r="AY263" s="45"/>
      <c r="AZ263" s="45"/>
      <c r="BA263" s="45"/>
      <c r="BB263" s="45"/>
      <c r="BC263" s="45"/>
      <c r="BD263" s="45"/>
      <c r="BE263" s="45"/>
      <c r="BF263" s="45"/>
      <c r="BG263" s="45"/>
      <c r="BH263" s="45"/>
    </row>
    <row r="264" spans="8:60" ht="20.100000000000001" customHeight="1">
      <c r="H264" s="45"/>
      <c r="I264" s="45"/>
      <c r="J264" s="45"/>
      <c r="K264" s="45"/>
      <c r="L264" s="45"/>
      <c r="M264" s="45"/>
      <c r="N264" s="45"/>
      <c r="R264" s="45"/>
      <c r="S264" s="45"/>
      <c r="AB264" s="45"/>
      <c r="AE264" s="45"/>
      <c r="AF264" s="45"/>
      <c r="AG264" s="45"/>
      <c r="AH264" s="45"/>
      <c r="AI264" s="45"/>
      <c r="AJ264" s="45"/>
      <c r="AK264" s="45"/>
      <c r="AL264" s="45"/>
      <c r="AM264" s="45"/>
      <c r="AN264" s="45"/>
      <c r="AO264" s="45"/>
      <c r="AP264" s="45"/>
      <c r="AQ264" s="45"/>
      <c r="AR264" s="45"/>
      <c r="AS264" s="45"/>
      <c r="AT264" s="45"/>
      <c r="AU264" s="45"/>
      <c r="AV264" s="45"/>
      <c r="AW264" s="45"/>
      <c r="AX264" s="45"/>
      <c r="AY264" s="45"/>
      <c r="AZ264" s="45"/>
      <c r="BA264" s="45"/>
      <c r="BB264" s="45"/>
      <c r="BC264" s="45"/>
      <c r="BD264" s="45"/>
      <c r="BE264" s="45"/>
      <c r="BF264" s="45"/>
      <c r="BG264" s="45"/>
      <c r="BH264" s="45"/>
    </row>
    <row r="265" spans="8:60" ht="20.100000000000001" customHeight="1">
      <c r="H265" s="45"/>
      <c r="I265" s="45"/>
      <c r="J265" s="45"/>
      <c r="K265" s="45"/>
      <c r="L265" s="45"/>
      <c r="M265" s="45"/>
      <c r="N265" s="45"/>
      <c r="R265" s="45"/>
      <c r="S265" s="45"/>
      <c r="AB265" s="45"/>
      <c r="AE265" s="45"/>
      <c r="AF265" s="45"/>
      <c r="AG265" s="45"/>
      <c r="AH265" s="45"/>
      <c r="AI265" s="45"/>
      <c r="AJ265" s="45"/>
      <c r="AK265" s="45"/>
      <c r="AL265" s="45"/>
      <c r="AM265" s="45"/>
      <c r="AN265" s="45"/>
      <c r="AO265" s="45"/>
      <c r="AP265" s="45"/>
      <c r="AQ265" s="45"/>
      <c r="AR265" s="45"/>
      <c r="AS265" s="45"/>
      <c r="AT265" s="45"/>
      <c r="AU265" s="45"/>
      <c r="AV265" s="45"/>
      <c r="AW265" s="45"/>
      <c r="AX265" s="45"/>
      <c r="AY265" s="45"/>
      <c r="AZ265" s="45"/>
      <c r="BA265" s="45"/>
      <c r="BB265" s="45"/>
      <c r="BC265" s="45"/>
      <c r="BD265" s="45"/>
      <c r="BE265" s="45"/>
      <c r="BF265" s="45"/>
      <c r="BG265" s="45"/>
      <c r="BH265" s="45"/>
    </row>
    <row r="266" spans="8:60" ht="20.100000000000001" customHeight="1">
      <c r="H266" s="45"/>
      <c r="I266" s="45"/>
      <c r="J266" s="45"/>
      <c r="K266" s="45"/>
      <c r="L266" s="45"/>
      <c r="M266" s="45"/>
      <c r="N266" s="45"/>
      <c r="R266" s="45"/>
      <c r="S266" s="45"/>
      <c r="AB266" s="45"/>
      <c r="AE266" s="45"/>
      <c r="AF266" s="45"/>
      <c r="AG266" s="45"/>
      <c r="AH266" s="45"/>
      <c r="AI266" s="45"/>
      <c r="AJ266" s="45"/>
      <c r="AK266" s="45"/>
      <c r="AL266" s="45"/>
      <c r="AM266" s="45"/>
      <c r="AN266" s="45"/>
      <c r="AO266" s="45"/>
      <c r="AP266" s="45"/>
      <c r="AQ266" s="45"/>
      <c r="AR266" s="45"/>
      <c r="AS266" s="45"/>
      <c r="AT266" s="45"/>
      <c r="AU266" s="45"/>
      <c r="AV266" s="45"/>
      <c r="AW266" s="45"/>
      <c r="AX266" s="45"/>
      <c r="AY266" s="45"/>
      <c r="AZ266" s="45"/>
      <c r="BA266" s="45"/>
      <c r="BB266" s="45"/>
      <c r="BC266" s="45"/>
      <c r="BD266" s="45"/>
      <c r="BE266" s="45"/>
      <c r="BF266" s="45"/>
      <c r="BG266" s="45"/>
      <c r="BH266" s="45"/>
    </row>
    <row r="267" spans="8:60" ht="20.100000000000001" customHeight="1">
      <c r="H267" s="45"/>
      <c r="I267" s="45"/>
      <c r="J267" s="45"/>
      <c r="K267" s="45"/>
      <c r="L267" s="45"/>
      <c r="M267" s="45"/>
      <c r="N267" s="45"/>
      <c r="R267" s="45"/>
      <c r="S267" s="45"/>
      <c r="AB267" s="45"/>
      <c r="AE267" s="45"/>
      <c r="AF267" s="45"/>
      <c r="AG267" s="45"/>
      <c r="AH267" s="45"/>
      <c r="AI267" s="45"/>
      <c r="AJ267" s="45"/>
      <c r="AK267" s="45"/>
      <c r="AL267" s="45"/>
      <c r="AM267" s="45"/>
      <c r="AN267" s="45"/>
      <c r="AO267" s="45"/>
      <c r="AP267" s="45"/>
      <c r="AQ267" s="45"/>
      <c r="AR267" s="45"/>
      <c r="AS267" s="45"/>
      <c r="AT267" s="45"/>
      <c r="AU267" s="45"/>
      <c r="AV267" s="45"/>
      <c r="AW267" s="45"/>
      <c r="AX267" s="45"/>
      <c r="AY267" s="45"/>
      <c r="AZ267" s="45"/>
      <c r="BA267" s="45"/>
      <c r="BB267" s="45"/>
      <c r="BC267" s="45"/>
      <c r="BD267" s="45"/>
      <c r="BE267" s="45"/>
      <c r="BF267" s="45"/>
      <c r="BG267" s="45"/>
      <c r="BH267" s="45"/>
    </row>
    <row r="268" spans="8:60" ht="20.100000000000001" customHeight="1">
      <c r="H268" s="45"/>
      <c r="I268" s="45"/>
      <c r="J268" s="45"/>
      <c r="K268" s="45"/>
      <c r="L268" s="45"/>
      <c r="M268" s="45"/>
      <c r="N268" s="45"/>
      <c r="R268" s="45"/>
      <c r="S268" s="45"/>
      <c r="AB268" s="45"/>
      <c r="AE268" s="45"/>
      <c r="AF268" s="45"/>
      <c r="AG268" s="45"/>
      <c r="AH268" s="45"/>
      <c r="AI268" s="45"/>
      <c r="AJ268" s="45"/>
      <c r="AK268" s="45"/>
      <c r="AL268" s="45"/>
      <c r="AM268" s="45"/>
      <c r="AN268" s="45"/>
      <c r="AO268" s="45"/>
      <c r="AP268" s="45"/>
      <c r="AQ268" s="45"/>
      <c r="AR268" s="45"/>
      <c r="AS268" s="45"/>
      <c r="AT268" s="45"/>
      <c r="AU268" s="45"/>
      <c r="AV268" s="45"/>
      <c r="AW268" s="45"/>
      <c r="AX268" s="45"/>
      <c r="AY268" s="45"/>
      <c r="AZ268" s="45"/>
      <c r="BA268" s="45"/>
      <c r="BB268" s="45"/>
      <c r="BC268" s="45"/>
      <c r="BD268" s="45"/>
      <c r="BE268" s="45"/>
      <c r="BF268" s="45"/>
      <c r="BG268" s="45"/>
      <c r="BH268" s="45"/>
    </row>
    <row r="269" spans="8:60" ht="20.100000000000001" customHeight="1">
      <c r="H269" s="45"/>
      <c r="I269" s="45"/>
      <c r="J269" s="45"/>
      <c r="K269" s="45"/>
      <c r="L269" s="45"/>
      <c r="M269" s="45"/>
      <c r="N269" s="45"/>
      <c r="R269" s="45"/>
      <c r="S269" s="45"/>
      <c r="AB269" s="45"/>
      <c r="AE269" s="45"/>
      <c r="AF269" s="45"/>
      <c r="AG269" s="45"/>
      <c r="AH269" s="45"/>
      <c r="AI269" s="45"/>
      <c r="AJ269" s="45"/>
      <c r="AK269" s="45"/>
      <c r="AL269" s="45"/>
      <c r="AM269" s="45"/>
      <c r="AN269" s="45"/>
      <c r="AO269" s="45"/>
      <c r="AP269" s="45"/>
      <c r="AQ269" s="45"/>
      <c r="AR269" s="45"/>
      <c r="AS269" s="45"/>
      <c r="AT269" s="45"/>
      <c r="AU269" s="45"/>
      <c r="AV269" s="45"/>
      <c r="AW269" s="45"/>
      <c r="AX269" s="45"/>
      <c r="AY269" s="45"/>
      <c r="AZ269" s="45"/>
      <c r="BA269" s="45"/>
      <c r="BB269" s="45"/>
      <c r="BC269" s="45"/>
      <c r="BD269" s="45"/>
      <c r="BE269" s="45"/>
      <c r="BF269" s="45"/>
      <c r="BG269" s="45"/>
      <c r="BH269" s="45"/>
    </row>
    <row r="270" spans="8:60" ht="20.100000000000001" customHeight="1">
      <c r="H270" s="45"/>
      <c r="I270" s="45"/>
      <c r="J270" s="45"/>
      <c r="K270" s="45"/>
      <c r="L270" s="45"/>
      <c r="M270" s="45"/>
      <c r="N270" s="45"/>
      <c r="R270" s="45"/>
      <c r="S270" s="45"/>
      <c r="AB270" s="45"/>
      <c r="AE270" s="45"/>
      <c r="AF270" s="45"/>
      <c r="AG270" s="45"/>
      <c r="AH270" s="45"/>
      <c r="AI270" s="45"/>
      <c r="AJ270" s="45"/>
      <c r="AK270" s="45"/>
      <c r="AL270" s="45"/>
      <c r="AM270" s="45"/>
      <c r="AN270" s="45"/>
      <c r="AO270" s="45"/>
      <c r="AP270" s="45"/>
      <c r="AQ270" s="45"/>
      <c r="AR270" s="45"/>
      <c r="AS270" s="45"/>
      <c r="AT270" s="45"/>
      <c r="AU270" s="45"/>
      <c r="AV270" s="45"/>
      <c r="AW270" s="45"/>
      <c r="AX270" s="45"/>
      <c r="AY270" s="45"/>
      <c r="AZ270" s="45"/>
      <c r="BA270" s="45"/>
      <c r="BB270" s="45"/>
      <c r="BC270" s="45"/>
      <c r="BD270" s="45"/>
      <c r="BE270" s="45"/>
      <c r="BF270" s="45"/>
      <c r="BG270" s="45"/>
      <c r="BH270" s="45"/>
    </row>
    <row r="271" spans="8:60" ht="20.100000000000001" customHeight="1">
      <c r="H271" s="45"/>
      <c r="I271" s="45"/>
      <c r="J271" s="45"/>
      <c r="K271" s="45"/>
      <c r="L271" s="45"/>
      <c r="M271" s="45"/>
      <c r="N271" s="45"/>
      <c r="R271" s="45"/>
      <c r="S271" s="45"/>
      <c r="AB271" s="45"/>
      <c r="AE271" s="45"/>
      <c r="AF271" s="45"/>
      <c r="AG271" s="45"/>
      <c r="AH271" s="45"/>
      <c r="AI271" s="45"/>
      <c r="AJ271" s="45"/>
      <c r="AK271" s="45"/>
      <c r="AL271" s="45"/>
      <c r="AM271" s="45"/>
      <c r="AN271" s="45"/>
      <c r="AO271" s="45"/>
      <c r="AP271" s="45"/>
      <c r="AQ271" s="45"/>
      <c r="AR271" s="45"/>
      <c r="AS271" s="45"/>
      <c r="AT271" s="45"/>
      <c r="AU271" s="45"/>
      <c r="AV271" s="45"/>
      <c r="AW271" s="45"/>
      <c r="AX271" s="45"/>
      <c r="AY271" s="45"/>
      <c r="AZ271" s="45"/>
      <c r="BA271" s="45"/>
      <c r="BB271" s="45"/>
      <c r="BC271" s="45"/>
      <c r="BD271" s="45"/>
      <c r="BE271" s="45"/>
      <c r="BF271" s="45"/>
      <c r="BG271" s="45"/>
      <c r="BH271" s="45"/>
    </row>
    <row r="272" spans="8:60" ht="20.100000000000001" customHeight="1">
      <c r="H272" s="45"/>
      <c r="I272" s="45"/>
      <c r="J272" s="45"/>
      <c r="K272" s="45"/>
      <c r="L272" s="45"/>
      <c r="M272" s="45"/>
      <c r="N272" s="45"/>
      <c r="R272" s="45"/>
      <c r="S272" s="45"/>
      <c r="AB272" s="45"/>
      <c r="AE272" s="45"/>
      <c r="AF272" s="45"/>
      <c r="AG272" s="45"/>
      <c r="AH272" s="45"/>
      <c r="AI272" s="45"/>
      <c r="AJ272" s="45"/>
      <c r="AK272" s="45"/>
      <c r="AL272" s="45"/>
      <c r="AM272" s="45"/>
      <c r="AN272" s="45"/>
      <c r="AO272" s="45"/>
      <c r="AP272" s="45"/>
      <c r="AQ272" s="45"/>
      <c r="AR272" s="45"/>
      <c r="AS272" s="45"/>
      <c r="AT272" s="45"/>
      <c r="AU272" s="45"/>
      <c r="AV272" s="45"/>
      <c r="AW272" s="45"/>
      <c r="AX272" s="45"/>
      <c r="AY272" s="45"/>
      <c r="AZ272" s="45"/>
      <c r="BA272" s="45"/>
      <c r="BB272" s="45"/>
      <c r="BC272" s="45"/>
      <c r="BD272" s="45"/>
      <c r="BE272" s="45"/>
      <c r="BF272" s="45"/>
      <c r="BG272" s="45"/>
      <c r="BH272" s="45"/>
    </row>
    <row r="273" spans="8:60" ht="20.100000000000001" customHeight="1">
      <c r="H273" s="45"/>
      <c r="I273" s="45"/>
      <c r="J273" s="45"/>
      <c r="K273" s="45"/>
      <c r="L273" s="45"/>
      <c r="M273" s="45"/>
      <c r="N273" s="45"/>
      <c r="R273" s="45"/>
      <c r="S273" s="45"/>
      <c r="AB273" s="45"/>
      <c r="AE273" s="45"/>
      <c r="AF273" s="45"/>
      <c r="AG273" s="45"/>
      <c r="AH273" s="45"/>
      <c r="AI273" s="45"/>
      <c r="AJ273" s="45"/>
      <c r="AK273" s="45"/>
      <c r="AL273" s="45"/>
      <c r="AM273" s="45"/>
      <c r="AN273" s="45"/>
      <c r="AO273" s="45"/>
      <c r="AP273" s="45"/>
      <c r="AQ273" s="45"/>
      <c r="AR273" s="45"/>
      <c r="AS273" s="45"/>
      <c r="AT273" s="45"/>
      <c r="AU273" s="45"/>
      <c r="AV273" s="45"/>
      <c r="AW273" s="45"/>
      <c r="AX273" s="45"/>
      <c r="AY273" s="45"/>
      <c r="AZ273" s="45"/>
      <c r="BA273" s="45"/>
      <c r="BB273" s="45"/>
      <c r="BC273" s="45"/>
      <c r="BD273" s="45"/>
      <c r="BE273" s="45"/>
      <c r="BF273" s="45"/>
      <c r="BG273" s="45"/>
      <c r="BH273" s="45"/>
    </row>
    <row r="274" spans="8:60" ht="20.100000000000001" customHeight="1">
      <c r="H274" s="45"/>
      <c r="I274" s="45"/>
      <c r="J274" s="45"/>
      <c r="K274" s="45"/>
      <c r="L274" s="45"/>
      <c r="M274" s="45"/>
      <c r="N274" s="45"/>
      <c r="R274" s="45"/>
      <c r="S274" s="45"/>
      <c r="AB274" s="45"/>
      <c r="AE274" s="45"/>
      <c r="AF274" s="45"/>
      <c r="AG274" s="45"/>
      <c r="AH274" s="45"/>
      <c r="AI274" s="45"/>
      <c r="AJ274" s="45"/>
      <c r="AK274" s="45"/>
      <c r="AL274" s="45"/>
      <c r="AM274" s="45"/>
      <c r="AN274" s="45"/>
      <c r="AO274" s="45"/>
      <c r="AP274" s="45"/>
      <c r="AQ274" s="45"/>
      <c r="AR274" s="45"/>
      <c r="AS274" s="45"/>
      <c r="AT274" s="45"/>
      <c r="AU274" s="45"/>
      <c r="AV274" s="45"/>
      <c r="AW274" s="45"/>
      <c r="AX274" s="45"/>
      <c r="AY274" s="45"/>
      <c r="AZ274" s="45"/>
      <c r="BA274" s="45"/>
      <c r="BB274" s="45"/>
      <c r="BC274" s="45"/>
      <c r="BD274" s="45"/>
      <c r="BE274" s="45"/>
      <c r="BF274" s="45"/>
      <c r="BG274" s="45"/>
      <c r="BH274" s="45"/>
    </row>
    <row r="275" spans="8:60" ht="20.100000000000001" customHeight="1">
      <c r="H275" s="45"/>
      <c r="I275" s="45"/>
      <c r="J275" s="45"/>
      <c r="K275" s="45"/>
      <c r="L275" s="45"/>
      <c r="M275" s="45"/>
      <c r="N275" s="45"/>
      <c r="R275" s="45"/>
      <c r="S275" s="45"/>
      <c r="AB275" s="45"/>
      <c r="AE275" s="45"/>
      <c r="AF275" s="45"/>
      <c r="AG275" s="45"/>
      <c r="AH275" s="45"/>
      <c r="AI275" s="45"/>
      <c r="AJ275" s="45"/>
      <c r="AK275" s="45"/>
      <c r="AL275" s="45"/>
      <c r="AM275" s="45"/>
      <c r="AN275" s="45"/>
      <c r="AO275" s="45"/>
      <c r="AP275" s="45"/>
      <c r="AQ275" s="45"/>
      <c r="AR275" s="45"/>
      <c r="AS275" s="45"/>
      <c r="AT275" s="45"/>
      <c r="AU275" s="45"/>
      <c r="AV275" s="45"/>
      <c r="AW275" s="45"/>
      <c r="AX275" s="45"/>
      <c r="AY275" s="45"/>
      <c r="AZ275" s="45"/>
      <c r="BA275" s="45"/>
      <c r="BB275" s="45"/>
      <c r="BC275" s="45"/>
      <c r="BD275" s="45"/>
      <c r="BE275" s="45"/>
      <c r="BF275" s="45"/>
      <c r="BG275" s="45"/>
      <c r="BH275" s="45"/>
    </row>
    <row r="276" spans="8:60" ht="20.100000000000001" customHeight="1">
      <c r="H276" s="45"/>
      <c r="I276" s="45"/>
      <c r="J276" s="45"/>
      <c r="K276" s="45"/>
      <c r="L276" s="45"/>
      <c r="M276" s="45"/>
      <c r="N276" s="45"/>
      <c r="R276" s="45"/>
      <c r="S276" s="45"/>
      <c r="AB276" s="45"/>
      <c r="AE276" s="45"/>
      <c r="AF276" s="45"/>
      <c r="AG276" s="45"/>
      <c r="AH276" s="45"/>
      <c r="AI276" s="45"/>
      <c r="AJ276" s="45"/>
      <c r="AK276" s="45"/>
      <c r="AL276" s="45"/>
      <c r="AM276" s="45"/>
      <c r="AN276" s="45"/>
      <c r="AO276" s="45"/>
      <c r="AP276" s="45"/>
      <c r="AQ276" s="45"/>
      <c r="AR276" s="45"/>
      <c r="AS276" s="45"/>
      <c r="AT276" s="45"/>
      <c r="AU276" s="45"/>
      <c r="AV276" s="45"/>
      <c r="AW276" s="45"/>
      <c r="AX276" s="45"/>
      <c r="AY276" s="45"/>
      <c r="AZ276" s="45"/>
      <c r="BA276" s="45"/>
      <c r="BB276" s="45"/>
      <c r="BC276" s="45"/>
      <c r="BD276" s="45"/>
      <c r="BE276" s="45"/>
      <c r="BF276" s="45"/>
      <c r="BG276" s="45"/>
      <c r="BH276" s="45"/>
    </row>
    <row r="277" spans="8:60" ht="20.100000000000001" customHeight="1">
      <c r="H277" s="45"/>
      <c r="I277" s="45"/>
      <c r="J277" s="45"/>
      <c r="K277" s="45"/>
      <c r="L277" s="45"/>
      <c r="M277" s="45"/>
      <c r="N277" s="45"/>
      <c r="R277" s="45"/>
      <c r="S277" s="45"/>
      <c r="AB277" s="45"/>
      <c r="AE277" s="45"/>
      <c r="AF277" s="45"/>
      <c r="AG277" s="45"/>
      <c r="AH277" s="45"/>
      <c r="AI277" s="45"/>
      <c r="AJ277" s="45"/>
      <c r="AK277" s="45"/>
      <c r="AL277" s="45"/>
      <c r="AM277" s="45"/>
      <c r="AN277" s="45"/>
      <c r="AO277" s="45"/>
      <c r="AP277" s="45"/>
      <c r="AQ277" s="45"/>
      <c r="AR277" s="45"/>
      <c r="AS277" s="45"/>
      <c r="AT277" s="45"/>
      <c r="AU277" s="45"/>
      <c r="AV277" s="45"/>
      <c r="AW277" s="45"/>
      <c r="AX277" s="45"/>
      <c r="AY277" s="45"/>
      <c r="AZ277" s="45"/>
      <c r="BA277" s="45"/>
      <c r="BB277" s="45"/>
      <c r="BC277" s="45"/>
      <c r="BD277" s="45"/>
      <c r="BE277" s="45"/>
      <c r="BF277" s="45"/>
      <c r="BG277" s="45"/>
      <c r="BH277" s="45"/>
    </row>
    <row r="278" spans="8:60" ht="20.100000000000001" customHeight="1">
      <c r="H278" s="45"/>
      <c r="I278" s="45"/>
      <c r="J278" s="45"/>
      <c r="K278" s="45"/>
      <c r="L278" s="45"/>
      <c r="M278" s="45"/>
      <c r="N278" s="45"/>
      <c r="R278" s="45"/>
      <c r="S278" s="45"/>
      <c r="AB278" s="45"/>
      <c r="AE278" s="45"/>
      <c r="AF278" s="45"/>
      <c r="AG278" s="45"/>
      <c r="AH278" s="45"/>
      <c r="AI278" s="45"/>
      <c r="AJ278" s="45"/>
      <c r="AK278" s="45"/>
      <c r="AL278" s="45"/>
      <c r="AM278" s="45"/>
      <c r="AN278" s="45"/>
      <c r="AO278" s="45"/>
      <c r="AP278" s="45"/>
      <c r="AQ278" s="45"/>
      <c r="AR278" s="45"/>
      <c r="AS278" s="45"/>
      <c r="AT278" s="45"/>
      <c r="AU278" s="45"/>
      <c r="AV278" s="45"/>
      <c r="AW278" s="45"/>
      <c r="AX278" s="45"/>
      <c r="AY278" s="45"/>
      <c r="AZ278" s="45"/>
      <c r="BA278" s="45"/>
      <c r="BB278" s="45"/>
      <c r="BC278" s="45"/>
      <c r="BD278" s="45"/>
      <c r="BE278" s="45"/>
      <c r="BF278" s="45"/>
      <c r="BG278" s="45"/>
      <c r="BH278" s="45"/>
    </row>
    <row r="279" spans="8:60" ht="20.100000000000001" customHeight="1">
      <c r="H279" s="45"/>
      <c r="I279" s="45"/>
      <c r="J279" s="45"/>
      <c r="K279" s="45"/>
      <c r="L279" s="45"/>
      <c r="M279" s="45"/>
      <c r="N279" s="45"/>
      <c r="R279" s="45"/>
      <c r="S279" s="45"/>
      <c r="AB279" s="45"/>
      <c r="AE279" s="45"/>
      <c r="AF279" s="45"/>
      <c r="AG279" s="45"/>
      <c r="AH279" s="45"/>
      <c r="AI279" s="45"/>
      <c r="AJ279" s="45"/>
      <c r="AK279" s="45"/>
      <c r="AL279" s="45"/>
      <c r="AM279" s="45"/>
      <c r="AN279" s="45"/>
      <c r="AO279" s="45"/>
      <c r="AP279" s="45"/>
      <c r="AQ279" s="45"/>
      <c r="AR279" s="45"/>
      <c r="AS279" s="45"/>
      <c r="AT279" s="45"/>
      <c r="AU279" s="45"/>
      <c r="AV279" s="45"/>
      <c r="AW279" s="45"/>
      <c r="AX279" s="45"/>
      <c r="AY279" s="45"/>
      <c r="AZ279" s="45"/>
      <c r="BA279" s="45"/>
      <c r="BB279" s="45"/>
      <c r="BC279" s="45"/>
      <c r="BD279" s="45"/>
      <c r="BE279" s="45"/>
      <c r="BF279" s="45"/>
      <c r="BG279" s="45"/>
      <c r="BH279" s="45"/>
    </row>
    <row r="280" spans="8:60" ht="20.100000000000001" customHeight="1">
      <c r="H280" s="45"/>
      <c r="I280" s="45"/>
      <c r="J280" s="45"/>
      <c r="K280" s="45"/>
      <c r="L280" s="45"/>
      <c r="M280" s="45"/>
      <c r="N280" s="45"/>
      <c r="R280" s="45"/>
      <c r="S280" s="45"/>
      <c r="AB280" s="45"/>
      <c r="AE280" s="45"/>
      <c r="AF280" s="45"/>
      <c r="AG280" s="45"/>
      <c r="AH280" s="45"/>
      <c r="AI280" s="45"/>
      <c r="AJ280" s="45"/>
      <c r="AK280" s="45"/>
      <c r="AL280" s="45"/>
      <c r="AM280" s="45"/>
      <c r="AN280" s="45"/>
      <c r="AO280" s="45"/>
      <c r="AP280" s="45"/>
      <c r="AQ280" s="45"/>
      <c r="AR280" s="45"/>
      <c r="AS280" s="45"/>
      <c r="AT280" s="45"/>
      <c r="AU280" s="45"/>
      <c r="AV280" s="45"/>
      <c r="AW280" s="45"/>
      <c r="AX280" s="45"/>
      <c r="AY280" s="45"/>
      <c r="AZ280" s="45"/>
      <c r="BA280" s="45"/>
      <c r="BB280" s="45"/>
      <c r="BC280" s="45"/>
      <c r="BD280" s="45"/>
      <c r="BE280" s="45"/>
      <c r="BF280" s="45"/>
      <c r="BG280" s="45"/>
      <c r="BH280" s="45"/>
    </row>
    <row r="281" spans="8:60" ht="20.100000000000001" customHeight="1">
      <c r="H281" s="45"/>
      <c r="I281" s="45"/>
      <c r="J281" s="45"/>
      <c r="K281" s="45"/>
      <c r="L281" s="45"/>
      <c r="M281" s="45"/>
      <c r="N281" s="45"/>
      <c r="R281" s="45"/>
      <c r="S281" s="45"/>
      <c r="AB281" s="45"/>
      <c r="AE281" s="45"/>
      <c r="AF281" s="45"/>
      <c r="AG281" s="45"/>
      <c r="AH281" s="45"/>
      <c r="AI281" s="45"/>
      <c r="AJ281" s="45"/>
      <c r="AK281" s="45"/>
      <c r="AL281" s="45"/>
      <c r="AM281" s="45"/>
      <c r="AN281" s="45"/>
      <c r="AO281" s="45"/>
      <c r="AP281" s="45"/>
      <c r="AQ281" s="45"/>
      <c r="AR281" s="45"/>
      <c r="AS281" s="45"/>
      <c r="AT281" s="45"/>
      <c r="AU281" s="45"/>
      <c r="AV281" s="45"/>
      <c r="AW281" s="45"/>
      <c r="AX281" s="45"/>
      <c r="AY281" s="45"/>
      <c r="AZ281" s="45"/>
      <c r="BA281" s="45"/>
      <c r="BB281" s="45"/>
      <c r="BC281" s="45"/>
      <c r="BD281" s="45"/>
      <c r="BE281" s="45"/>
      <c r="BF281" s="45"/>
      <c r="BG281" s="45"/>
      <c r="BH281" s="45"/>
    </row>
    <row r="282" spans="8:60" ht="20.100000000000001" customHeight="1">
      <c r="H282" s="45"/>
      <c r="I282" s="45"/>
      <c r="J282" s="45"/>
      <c r="K282" s="45"/>
      <c r="L282" s="45"/>
      <c r="M282" s="45"/>
      <c r="N282" s="45"/>
      <c r="R282" s="45"/>
      <c r="S282" s="45"/>
      <c r="AB282" s="45"/>
      <c r="AE282" s="45"/>
      <c r="AF282" s="45"/>
      <c r="AG282" s="45"/>
      <c r="AH282" s="45"/>
      <c r="AI282" s="45"/>
      <c r="AJ282" s="45"/>
      <c r="AK282" s="45"/>
      <c r="AL282" s="45"/>
      <c r="AM282" s="45"/>
      <c r="AN282" s="45"/>
      <c r="AO282" s="45"/>
      <c r="AP282" s="45"/>
      <c r="AQ282" s="45"/>
      <c r="AR282" s="45"/>
      <c r="AS282" s="45"/>
      <c r="AT282" s="45"/>
      <c r="AU282" s="45"/>
      <c r="AV282" s="45"/>
      <c r="AW282" s="45"/>
      <c r="AX282" s="45"/>
      <c r="AY282" s="45"/>
      <c r="AZ282" s="45"/>
      <c r="BA282" s="45"/>
      <c r="BB282" s="45"/>
      <c r="BC282" s="45"/>
      <c r="BD282" s="45"/>
      <c r="BE282" s="45"/>
      <c r="BF282" s="45"/>
      <c r="BG282" s="45"/>
      <c r="BH282" s="45"/>
    </row>
    <row r="283" spans="8:60" ht="20.100000000000001" customHeight="1">
      <c r="H283" s="45"/>
      <c r="I283" s="45"/>
      <c r="J283" s="45"/>
      <c r="K283" s="45"/>
      <c r="L283" s="45"/>
      <c r="M283" s="45"/>
      <c r="N283" s="45"/>
      <c r="R283" s="45"/>
      <c r="S283" s="45"/>
      <c r="AB283" s="45"/>
      <c r="AE283" s="45"/>
      <c r="AF283" s="45"/>
      <c r="AG283" s="45"/>
      <c r="AH283" s="45"/>
      <c r="AI283" s="45"/>
      <c r="AJ283" s="45"/>
      <c r="AK283" s="45"/>
      <c r="AL283" s="45"/>
      <c r="AM283" s="45"/>
      <c r="AN283" s="45"/>
      <c r="AO283" s="45"/>
      <c r="AP283" s="45"/>
      <c r="AQ283" s="45"/>
      <c r="AR283" s="45"/>
      <c r="AS283" s="45"/>
      <c r="AT283" s="45"/>
      <c r="AU283" s="45"/>
      <c r="AV283" s="45"/>
      <c r="AW283" s="45"/>
      <c r="AX283" s="45"/>
      <c r="AY283" s="45"/>
      <c r="AZ283" s="45"/>
      <c r="BA283" s="45"/>
      <c r="BB283" s="45"/>
      <c r="BC283" s="45"/>
      <c r="BD283" s="45"/>
      <c r="BE283" s="45"/>
      <c r="BF283" s="45"/>
      <c r="BG283" s="45"/>
      <c r="BH283" s="45"/>
    </row>
    <row r="284" spans="8:60" ht="20.100000000000001" customHeight="1">
      <c r="H284" s="45"/>
      <c r="I284" s="45"/>
      <c r="J284" s="45"/>
      <c r="K284" s="45"/>
      <c r="L284" s="45"/>
      <c r="M284" s="45"/>
      <c r="N284" s="45"/>
      <c r="R284" s="45"/>
      <c r="S284" s="45"/>
      <c r="AB284" s="45"/>
      <c r="AE284" s="45"/>
      <c r="AF284" s="45"/>
      <c r="AG284" s="45"/>
      <c r="AH284" s="45"/>
      <c r="AI284" s="45"/>
      <c r="AJ284" s="45"/>
      <c r="AK284" s="45"/>
      <c r="AL284" s="45"/>
      <c r="AM284" s="45"/>
      <c r="AN284" s="45"/>
      <c r="AO284" s="45"/>
      <c r="AP284" s="45"/>
      <c r="AQ284" s="45"/>
      <c r="AR284" s="45"/>
      <c r="AS284" s="45"/>
      <c r="AT284" s="45"/>
      <c r="AU284" s="45"/>
      <c r="AV284" s="45"/>
      <c r="AW284" s="45"/>
      <c r="AX284" s="45"/>
      <c r="AY284" s="45"/>
      <c r="AZ284" s="45"/>
      <c r="BA284" s="45"/>
      <c r="BB284" s="45"/>
      <c r="BC284" s="45"/>
      <c r="BD284" s="45"/>
      <c r="BE284" s="45"/>
      <c r="BF284" s="45"/>
      <c r="BG284" s="45"/>
      <c r="BH284" s="45"/>
    </row>
    <row r="285" spans="8:60" ht="20.100000000000001" customHeight="1">
      <c r="H285" s="45"/>
      <c r="I285" s="45"/>
      <c r="J285" s="45"/>
      <c r="K285" s="45"/>
      <c r="L285" s="45"/>
      <c r="M285" s="45"/>
      <c r="N285" s="45"/>
      <c r="R285" s="45"/>
      <c r="S285" s="45"/>
      <c r="AB285" s="45"/>
      <c r="AE285" s="45"/>
      <c r="AF285" s="45"/>
      <c r="AG285" s="45"/>
      <c r="AH285" s="45"/>
      <c r="AI285" s="45"/>
      <c r="AJ285" s="45"/>
      <c r="AK285" s="45"/>
      <c r="AL285" s="45"/>
      <c r="AM285" s="45"/>
      <c r="AN285" s="45"/>
      <c r="AO285" s="45"/>
      <c r="AP285" s="45"/>
      <c r="AQ285" s="45"/>
      <c r="AR285" s="45"/>
      <c r="AS285" s="45"/>
      <c r="AT285" s="45"/>
      <c r="AU285" s="45"/>
      <c r="AV285" s="45"/>
      <c r="AW285" s="45"/>
      <c r="AX285" s="45"/>
      <c r="AY285" s="45"/>
      <c r="AZ285" s="45"/>
      <c r="BA285" s="45"/>
      <c r="BB285" s="45"/>
      <c r="BC285" s="45"/>
      <c r="BD285" s="45"/>
      <c r="BE285" s="45"/>
      <c r="BF285" s="45"/>
      <c r="BG285" s="45"/>
      <c r="BH285" s="45"/>
    </row>
    <row r="286" spans="8:60" ht="20.100000000000001" customHeight="1">
      <c r="H286" s="45"/>
      <c r="I286" s="45"/>
      <c r="J286" s="45"/>
      <c r="K286" s="45"/>
      <c r="L286" s="45"/>
      <c r="M286" s="45"/>
      <c r="N286" s="45"/>
      <c r="R286" s="45"/>
      <c r="S286" s="45"/>
      <c r="AB286" s="45"/>
      <c r="AE286" s="45"/>
      <c r="AF286" s="45"/>
      <c r="AG286" s="45"/>
      <c r="AH286" s="45"/>
      <c r="AI286" s="45"/>
      <c r="AJ286" s="45"/>
      <c r="AK286" s="45"/>
      <c r="AL286" s="45"/>
      <c r="AM286" s="45"/>
      <c r="AN286" s="45"/>
      <c r="AO286" s="45"/>
      <c r="AP286" s="45"/>
      <c r="AQ286" s="45"/>
      <c r="AR286" s="45"/>
      <c r="AS286" s="45"/>
      <c r="AT286" s="45"/>
      <c r="AU286" s="45"/>
      <c r="AV286" s="45"/>
      <c r="AW286" s="45"/>
      <c r="AX286" s="45"/>
      <c r="AY286" s="45"/>
      <c r="AZ286" s="45"/>
      <c r="BA286" s="45"/>
      <c r="BB286" s="45"/>
      <c r="BC286" s="45"/>
      <c r="BD286" s="45"/>
      <c r="BE286" s="45"/>
      <c r="BF286" s="45"/>
      <c r="BG286" s="45"/>
      <c r="BH286" s="45"/>
    </row>
    <row r="287" spans="8:60" ht="20.100000000000001" customHeight="1">
      <c r="H287" s="45"/>
      <c r="I287" s="45"/>
      <c r="J287" s="45"/>
      <c r="K287" s="45"/>
      <c r="L287" s="45"/>
      <c r="M287" s="45"/>
      <c r="N287" s="45"/>
      <c r="R287" s="45"/>
      <c r="S287" s="45"/>
      <c r="AB287" s="45"/>
      <c r="AE287" s="45"/>
      <c r="AF287" s="45"/>
      <c r="AG287" s="45"/>
      <c r="AH287" s="45"/>
      <c r="AI287" s="45"/>
      <c r="AJ287" s="45"/>
      <c r="AK287" s="45"/>
      <c r="AL287" s="45"/>
      <c r="AM287" s="45"/>
      <c r="AN287" s="45"/>
      <c r="AO287" s="45"/>
      <c r="AP287" s="45"/>
      <c r="AQ287" s="45"/>
      <c r="AR287" s="45"/>
      <c r="AS287" s="45"/>
      <c r="AT287" s="45"/>
      <c r="AU287" s="45"/>
      <c r="AV287" s="45"/>
      <c r="AW287" s="45"/>
      <c r="AX287" s="45"/>
      <c r="AY287" s="45"/>
      <c r="AZ287" s="45"/>
      <c r="BA287" s="45"/>
      <c r="BB287" s="45"/>
      <c r="BC287" s="45"/>
      <c r="BD287" s="45"/>
      <c r="BE287" s="45"/>
      <c r="BF287" s="45"/>
      <c r="BG287" s="45"/>
      <c r="BH287" s="45"/>
    </row>
    <row r="288" spans="8:60" ht="20.100000000000001" customHeight="1">
      <c r="H288" s="45"/>
      <c r="I288" s="45"/>
      <c r="J288" s="45"/>
      <c r="K288" s="45"/>
      <c r="L288" s="45"/>
      <c r="M288" s="45"/>
      <c r="N288" s="45"/>
      <c r="R288" s="45"/>
      <c r="S288" s="45"/>
      <c r="AB288" s="45"/>
      <c r="AE288" s="45"/>
      <c r="AF288" s="45"/>
      <c r="AG288" s="45"/>
      <c r="AH288" s="45"/>
      <c r="AI288" s="45"/>
      <c r="AJ288" s="45"/>
      <c r="AK288" s="45"/>
      <c r="AL288" s="45"/>
      <c r="AM288" s="45"/>
      <c r="AN288" s="45"/>
      <c r="AO288" s="45"/>
      <c r="AP288" s="45"/>
      <c r="AQ288" s="45"/>
      <c r="AR288" s="45"/>
      <c r="AS288" s="45"/>
      <c r="AT288" s="45"/>
      <c r="AU288" s="45"/>
      <c r="AV288" s="45"/>
      <c r="AW288" s="45"/>
      <c r="AX288" s="45"/>
      <c r="AY288" s="45"/>
      <c r="AZ288" s="45"/>
      <c r="BA288" s="45"/>
      <c r="BB288" s="45"/>
      <c r="BC288" s="45"/>
      <c r="BD288" s="45"/>
      <c r="BE288" s="45"/>
      <c r="BF288" s="45"/>
      <c r="BG288" s="45"/>
      <c r="BH288" s="45"/>
    </row>
    <row r="289" spans="8:60" ht="20.100000000000001" customHeight="1">
      <c r="H289" s="45"/>
      <c r="I289" s="45"/>
      <c r="J289" s="45"/>
      <c r="K289" s="45"/>
      <c r="L289" s="45"/>
      <c r="M289" s="45"/>
      <c r="N289" s="45"/>
      <c r="R289" s="45"/>
      <c r="S289" s="45"/>
      <c r="AB289" s="45"/>
      <c r="AE289" s="45"/>
      <c r="AF289" s="45"/>
      <c r="AG289" s="45"/>
      <c r="AH289" s="45"/>
      <c r="AI289" s="45"/>
      <c r="AJ289" s="45"/>
      <c r="AK289" s="45"/>
      <c r="AL289" s="45"/>
      <c r="AM289" s="45"/>
      <c r="AN289" s="45"/>
      <c r="AO289" s="45"/>
      <c r="AP289" s="45"/>
      <c r="AQ289" s="45"/>
      <c r="AR289" s="45"/>
      <c r="AS289" s="45"/>
      <c r="AT289" s="45"/>
      <c r="AU289" s="45"/>
      <c r="AV289" s="45"/>
      <c r="AW289" s="45"/>
      <c r="AX289" s="45"/>
      <c r="AY289" s="45"/>
      <c r="AZ289" s="45"/>
      <c r="BA289" s="45"/>
      <c r="BB289" s="45"/>
      <c r="BC289" s="45"/>
      <c r="BD289" s="45"/>
      <c r="BE289" s="45"/>
      <c r="BF289" s="45"/>
      <c r="BG289" s="45"/>
      <c r="BH289" s="45"/>
    </row>
    <row r="290" spans="8:60" ht="20.100000000000001" customHeight="1">
      <c r="H290" s="45"/>
      <c r="I290" s="45"/>
      <c r="J290" s="45"/>
      <c r="K290" s="45"/>
      <c r="L290" s="45"/>
      <c r="M290" s="45"/>
      <c r="N290" s="45"/>
      <c r="R290" s="45"/>
      <c r="S290" s="45"/>
      <c r="AB290" s="45"/>
      <c r="AE290" s="45"/>
      <c r="AF290" s="45"/>
      <c r="AG290" s="45"/>
      <c r="AH290" s="45"/>
      <c r="AI290" s="45"/>
      <c r="AJ290" s="45"/>
      <c r="AK290" s="45"/>
      <c r="AL290" s="45"/>
      <c r="AM290" s="45"/>
      <c r="AN290" s="45"/>
      <c r="AO290" s="45"/>
      <c r="AP290" s="45"/>
      <c r="AQ290" s="45"/>
      <c r="AR290" s="45"/>
      <c r="AS290" s="45"/>
      <c r="AT290" s="45"/>
      <c r="AU290" s="45"/>
      <c r="AV290" s="45"/>
      <c r="AW290" s="45"/>
      <c r="AX290" s="45"/>
      <c r="AY290" s="45"/>
      <c r="AZ290" s="45"/>
      <c r="BA290" s="45"/>
      <c r="BB290" s="45"/>
      <c r="BC290" s="45"/>
      <c r="BD290" s="45"/>
      <c r="BE290" s="45"/>
      <c r="BF290" s="45"/>
      <c r="BG290" s="45"/>
      <c r="BH290" s="45"/>
    </row>
    <row r="291" spans="8:60" ht="20.100000000000001" customHeight="1">
      <c r="H291" s="45"/>
      <c r="I291" s="45"/>
      <c r="J291" s="45"/>
      <c r="K291" s="45"/>
      <c r="L291" s="45"/>
      <c r="M291" s="45"/>
      <c r="N291" s="45"/>
      <c r="R291" s="45"/>
      <c r="S291" s="45"/>
      <c r="AB291" s="45"/>
      <c r="AE291" s="45"/>
      <c r="AF291" s="45"/>
      <c r="AG291" s="45"/>
      <c r="AH291" s="45"/>
      <c r="AI291" s="45"/>
      <c r="AJ291" s="45"/>
      <c r="AK291" s="45"/>
      <c r="AL291" s="45"/>
      <c r="AM291" s="45"/>
      <c r="AN291" s="45"/>
      <c r="AO291" s="45"/>
      <c r="AP291" s="45"/>
      <c r="AQ291" s="45"/>
      <c r="AR291" s="45"/>
      <c r="AS291" s="45"/>
      <c r="AT291" s="45"/>
      <c r="AU291" s="45"/>
      <c r="AV291" s="45"/>
      <c r="AW291" s="45"/>
      <c r="AX291" s="45"/>
      <c r="AY291" s="45"/>
      <c r="AZ291" s="45"/>
      <c r="BA291" s="45"/>
      <c r="BB291" s="45"/>
      <c r="BC291" s="45"/>
      <c r="BD291" s="45"/>
      <c r="BE291" s="45"/>
      <c r="BF291" s="45"/>
      <c r="BG291" s="45"/>
      <c r="BH291" s="45"/>
    </row>
    <row r="292" spans="8:60" ht="20.100000000000001" customHeight="1">
      <c r="H292" s="45"/>
      <c r="I292" s="45"/>
      <c r="J292" s="45"/>
      <c r="K292" s="45"/>
      <c r="L292" s="45"/>
      <c r="M292" s="45"/>
      <c r="N292" s="45"/>
      <c r="R292" s="45"/>
      <c r="S292" s="45"/>
      <c r="AB292" s="45"/>
      <c r="AE292" s="45"/>
      <c r="AF292" s="45"/>
      <c r="AG292" s="45"/>
      <c r="AH292" s="45"/>
      <c r="AI292" s="45"/>
      <c r="AJ292" s="45"/>
      <c r="AK292" s="45"/>
      <c r="AL292" s="45"/>
      <c r="AM292" s="45"/>
      <c r="AN292" s="45"/>
      <c r="AO292" s="45"/>
      <c r="AP292" s="45"/>
      <c r="AQ292" s="45"/>
      <c r="AR292" s="45"/>
      <c r="AS292" s="45"/>
      <c r="AT292" s="45"/>
      <c r="AU292" s="45"/>
      <c r="AV292" s="45"/>
      <c r="AW292" s="45"/>
      <c r="AX292" s="45"/>
      <c r="AY292" s="45"/>
      <c r="AZ292" s="45"/>
      <c r="BA292" s="45"/>
      <c r="BB292" s="45"/>
      <c r="BC292" s="45"/>
      <c r="BD292" s="45"/>
      <c r="BE292" s="45"/>
      <c r="BF292" s="45"/>
      <c r="BG292" s="45"/>
      <c r="BH292" s="45"/>
    </row>
    <row r="293" spans="8:60" ht="20.100000000000001" customHeight="1">
      <c r="H293" s="45"/>
      <c r="I293" s="45"/>
      <c r="J293" s="45"/>
      <c r="K293" s="45"/>
      <c r="L293" s="45"/>
      <c r="M293" s="45"/>
      <c r="N293" s="45"/>
      <c r="R293" s="45"/>
      <c r="S293" s="45"/>
      <c r="AB293" s="45"/>
      <c r="AE293" s="45"/>
      <c r="AF293" s="45"/>
      <c r="AG293" s="45"/>
      <c r="AH293" s="45"/>
      <c r="AI293" s="45"/>
      <c r="AJ293" s="45"/>
      <c r="AK293" s="45"/>
      <c r="AL293" s="45"/>
      <c r="AM293" s="45"/>
      <c r="AN293" s="45"/>
      <c r="AO293" s="45"/>
      <c r="AP293" s="45"/>
      <c r="AQ293" s="45"/>
      <c r="AR293" s="45"/>
      <c r="AS293" s="45"/>
      <c r="AT293" s="45"/>
      <c r="AU293" s="45"/>
      <c r="AV293" s="45"/>
      <c r="AW293" s="45"/>
      <c r="AX293" s="45"/>
      <c r="AY293" s="45"/>
      <c r="AZ293" s="45"/>
      <c r="BA293" s="45"/>
      <c r="BB293" s="45"/>
      <c r="BC293" s="45"/>
      <c r="BD293" s="45"/>
      <c r="BE293" s="45"/>
      <c r="BF293" s="45"/>
      <c r="BG293" s="45"/>
      <c r="BH293" s="45"/>
    </row>
    <row r="294" spans="8:60" ht="20.100000000000001" customHeight="1">
      <c r="H294" s="45"/>
      <c r="I294" s="45"/>
      <c r="J294" s="45"/>
      <c r="K294" s="45"/>
      <c r="L294" s="45"/>
      <c r="M294" s="45"/>
      <c r="N294" s="45"/>
      <c r="R294" s="45"/>
      <c r="S294" s="45"/>
      <c r="AB294" s="45"/>
      <c r="AE294" s="45"/>
      <c r="AF294" s="45"/>
      <c r="AG294" s="45"/>
      <c r="AH294" s="45"/>
      <c r="AI294" s="45"/>
      <c r="AJ294" s="45"/>
      <c r="AK294" s="45"/>
      <c r="AL294" s="45"/>
      <c r="AM294" s="45"/>
      <c r="AN294" s="45"/>
      <c r="AO294" s="45"/>
      <c r="AP294" s="45"/>
      <c r="AQ294" s="45"/>
      <c r="AR294" s="45"/>
      <c r="AS294" s="45"/>
      <c r="AT294" s="45"/>
      <c r="AU294" s="45"/>
      <c r="AV294" s="45"/>
      <c r="AW294" s="45"/>
      <c r="AX294" s="45"/>
      <c r="AY294" s="45"/>
      <c r="AZ294" s="45"/>
      <c r="BA294" s="45"/>
      <c r="BB294" s="45"/>
      <c r="BC294" s="45"/>
      <c r="BD294" s="45"/>
      <c r="BE294" s="45"/>
      <c r="BF294" s="45"/>
      <c r="BG294" s="45"/>
      <c r="BH294" s="45"/>
    </row>
    <row r="295" spans="8:60" ht="20.100000000000001" customHeight="1">
      <c r="H295" s="45"/>
      <c r="I295" s="45"/>
      <c r="J295" s="45"/>
      <c r="K295" s="45"/>
      <c r="L295" s="45"/>
      <c r="M295" s="45"/>
      <c r="N295" s="45"/>
      <c r="R295" s="45"/>
      <c r="S295" s="45"/>
      <c r="AB295" s="45"/>
      <c r="AE295" s="45"/>
      <c r="AF295" s="45"/>
      <c r="AG295" s="45"/>
      <c r="AH295" s="45"/>
      <c r="AI295" s="45"/>
      <c r="AJ295" s="45"/>
      <c r="AK295" s="45"/>
      <c r="AL295" s="45"/>
      <c r="AM295" s="45"/>
      <c r="AN295" s="45"/>
      <c r="AO295" s="45"/>
      <c r="AP295" s="45"/>
      <c r="AQ295" s="45"/>
      <c r="AR295" s="45"/>
      <c r="AS295" s="45"/>
      <c r="AT295" s="45"/>
      <c r="AU295" s="45"/>
      <c r="AV295" s="45"/>
      <c r="AW295" s="45"/>
      <c r="AX295" s="45"/>
      <c r="AY295" s="45"/>
      <c r="AZ295" s="45"/>
      <c r="BA295" s="45"/>
      <c r="BB295" s="45"/>
      <c r="BC295" s="45"/>
      <c r="BD295" s="45"/>
      <c r="BE295" s="45"/>
      <c r="BF295" s="45"/>
      <c r="BG295" s="45"/>
      <c r="BH295" s="45"/>
    </row>
    <row r="296" spans="8:60" ht="20.100000000000001" customHeight="1">
      <c r="H296" s="45"/>
      <c r="I296" s="45"/>
      <c r="J296" s="45"/>
      <c r="K296" s="45"/>
      <c r="L296" s="45"/>
      <c r="M296" s="45"/>
      <c r="N296" s="45"/>
      <c r="R296" s="45"/>
      <c r="S296" s="45"/>
      <c r="AB296" s="45"/>
      <c r="AE296" s="45"/>
      <c r="AF296" s="45"/>
      <c r="AG296" s="45"/>
      <c r="AH296" s="45"/>
      <c r="AI296" s="45"/>
      <c r="AJ296" s="45"/>
      <c r="AK296" s="45"/>
      <c r="AL296" s="45"/>
      <c r="AM296" s="45"/>
      <c r="AN296" s="45"/>
      <c r="AO296" s="45"/>
      <c r="AP296" s="45"/>
      <c r="AQ296" s="45"/>
      <c r="AR296" s="45"/>
      <c r="AS296" s="45"/>
      <c r="AT296" s="45"/>
      <c r="AU296" s="45"/>
      <c r="AV296" s="45"/>
      <c r="AW296" s="45"/>
      <c r="AX296" s="45"/>
      <c r="AY296" s="45"/>
      <c r="AZ296" s="45"/>
      <c r="BA296" s="45"/>
      <c r="BB296" s="45"/>
      <c r="BC296" s="45"/>
      <c r="BD296" s="45"/>
      <c r="BE296" s="45"/>
      <c r="BF296" s="45"/>
      <c r="BG296" s="45"/>
      <c r="BH296" s="45"/>
    </row>
    <row r="297" spans="8:60" ht="20.100000000000001" customHeight="1">
      <c r="H297" s="45"/>
      <c r="I297" s="45"/>
      <c r="J297" s="45"/>
      <c r="K297" s="45"/>
      <c r="L297" s="45"/>
      <c r="M297" s="45"/>
      <c r="N297" s="45"/>
      <c r="R297" s="45"/>
      <c r="S297" s="45"/>
      <c r="AB297" s="45"/>
      <c r="AE297" s="45"/>
      <c r="AF297" s="45"/>
      <c r="AG297" s="45"/>
      <c r="AH297" s="45"/>
      <c r="AI297" s="45"/>
      <c r="AJ297" s="45"/>
      <c r="AK297" s="45"/>
      <c r="AL297" s="45"/>
      <c r="AM297" s="45"/>
      <c r="AN297" s="45"/>
      <c r="AO297" s="45"/>
      <c r="AP297" s="45"/>
      <c r="AQ297" s="45"/>
      <c r="AR297" s="45"/>
      <c r="AS297" s="45"/>
      <c r="AT297" s="45"/>
      <c r="AU297" s="45"/>
      <c r="AV297" s="45"/>
      <c r="AW297" s="45"/>
      <c r="AX297" s="45"/>
      <c r="AY297" s="45"/>
      <c r="AZ297" s="45"/>
      <c r="BA297" s="45"/>
      <c r="BB297" s="45"/>
      <c r="BC297" s="45"/>
      <c r="BD297" s="45"/>
      <c r="BE297" s="45"/>
      <c r="BF297" s="45"/>
      <c r="BG297" s="45"/>
      <c r="BH297" s="45"/>
    </row>
    <row r="298" spans="8:60" ht="20.100000000000001" customHeight="1">
      <c r="H298" s="45"/>
      <c r="I298" s="45"/>
      <c r="J298" s="45"/>
      <c r="K298" s="45"/>
      <c r="L298" s="45"/>
      <c r="M298" s="45"/>
      <c r="N298" s="45"/>
      <c r="R298" s="45"/>
      <c r="S298" s="45"/>
      <c r="AB298" s="45"/>
      <c r="AE298" s="45"/>
      <c r="AF298" s="45"/>
      <c r="AG298" s="45"/>
      <c r="AH298" s="45"/>
      <c r="AI298" s="45"/>
      <c r="AJ298" s="45"/>
      <c r="AK298" s="45"/>
      <c r="AL298" s="45"/>
      <c r="AM298" s="45"/>
      <c r="AN298" s="45"/>
      <c r="AO298" s="45"/>
      <c r="AP298" s="45"/>
      <c r="AQ298" s="45"/>
      <c r="AR298" s="45"/>
      <c r="AS298" s="45"/>
      <c r="AT298" s="45"/>
      <c r="AU298" s="45"/>
      <c r="AV298" s="45"/>
      <c r="AW298" s="45"/>
      <c r="AX298" s="45"/>
      <c r="AY298" s="45"/>
      <c r="AZ298" s="45"/>
      <c r="BA298" s="45"/>
      <c r="BB298" s="45"/>
      <c r="BC298" s="45"/>
      <c r="BD298" s="45"/>
      <c r="BE298" s="45"/>
      <c r="BF298" s="45"/>
      <c r="BG298" s="45"/>
      <c r="BH298" s="45"/>
    </row>
    <row r="299" spans="8:60" ht="20.100000000000001" customHeight="1">
      <c r="H299" s="45"/>
      <c r="I299" s="45"/>
      <c r="J299" s="45"/>
      <c r="K299" s="45"/>
      <c r="L299" s="45"/>
      <c r="M299" s="45"/>
      <c r="N299" s="45"/>
      <c r="R299" s="45"/>
      <c r="S299" s="45"/>
      <c r="AB299" s="45"/>
      <c r="AE299" s="45"/>
      <c r="AF299" s="45"/>
      <c r="AG299" s="45"/>
      <c r="AH299" s="45"/>
      <c r="AI299" s="45"/>
      <c r="AJ299" s="45"/>
      <c r="AK299" s="45"/>
      <c r="AL299" s="45"/>
      <c r="AM299" s="45"/>
      <c r="AN299" s="45"/>
      <c r="AO299" s="45"/>
      <c r="AP299" s="45"/>
      <c r="AQ299" s="45"/>
      <c r="AR299" s="45"/>
      <c r="AS299" s="45"/>
      <c r="AT299" s="45"/>
      <c r="AU299" s="45"/>
      <c r="AV299" s="45"/>
      <c r="AW299" s="45"/>
      <c r="AX299" s="45"/>
      <c r="AY299" s="45"/>
      <c r="AZ299" s="45"/>
      <c r="BA299" s="45"/>
      <c r="BB299" s="45"/>
      <c r="BC299" s="45"/>
      <c r="BD299" s="45"/>
      <c r="BE299" s="45"/>
      <c r="BF299" s="45"/>
      <c r="BG299" s="45"/>
      <c r="BH299" s="45"/>
    </row>
    <row r="300" spans="8:60" ht="20.100000000000001" customHeight="1">
      <c r="H300" s="45"/>
      <c r="I300" s="45"/>
      <c r="J300" s="45"/>
      <c r="K300" s="45"/>
      <c r="L300" s="45"/>
      <c r="M300" s="45"/>
      <c r="N300" s="45"/>
      <c r="R300" s="45"/>
      <c r="S300" s="45"/>
      <c r="AB300" s="45"/>
      <c r="AE300" s="45"/>
      <c r="AF300" s="45"/>
      <c r="AG300" s="45"/>
      <c r="AH300" s="45"/>
      <c r="AI300" s="45"/>
      <c r="AJ300" s="45"/>
      <c r="AK300" s="45"/>
      <c r="AL300" s="45"/>
      <c r="AM300" s="45"/>
      <c r="AN300" s="45"/>
      <c r="AO300" s="45"/>
      <c r="AP300" s="45"/>
      <c r="AQ300" s="45"/>
      <c r="AR300" s="45"/>
      <c r="AS300" s="45"/>
      <c r="AT300" s="45"/>
      <c r="AU300" s="45"/>
      <c r="AV300" s="45"/>
      <c r="AW300" s="45"/>
      <c r="AX300" s="45"/>
      <c r="AY300" s="45"/>
      <c r="AZ300" s="45"/>
      <c r="BA300" s="45"/>
      <c r="BB300" s="45"/>
      <c r="BC300" s="45"/>
      <c r="BD300" s="45"/>
      <c r="BE300" s="45"/>
      <c r="BF300" s="45"/>
      <c r="BG300" s="45"/>
      <c r="BH300" s="45"/>
    </row>
    <row r="301" spans="8:60" ht="20.100000000000001" customHeight="1">
      <c r="H301" s="45"/>
      <c r="I301" s="45"/>
      <c r="J301" s="45"/>
      <c r="K301" s="45"/>
      <c r="L301" s="45"/>
      <c r="M301" s="45"/>
      <c r="N301" s="45"/>
      <c r="R301" s="45"/>
      <c r="S301" s="45"/>
      <c r="AB301" s="45"/>
      <c r="AE301" s="45"/>
      <c r="AF301" s="45"/>
      <c r="AG301" s="45"/>
      <c r="AH301" s="45"/>
      <c r="AI301" s="45"/>
      <c r="AJ301" s="45"/>
      <c r="AK301" s="45"/>
      <c r="AL301" s="45"/>
      <c r="AM301" s="45"/>
      <c r="AN301" s="45"/>
      <c r="AO301" s="45"/>
      <c r="AP301" s="45"/>
      <c r="AQ301" s="45"/>
      <c r="AR301" s="45"/>
      <c r="AS301" s="45"/>
      <c r="AT301" s="45"/>
      <c r="AU301" s="45"/>
      <c r="AV301" s="45"/>
      <c r="AW301" s="45"/>
      <c r="AX301" s="45"/>
      <c r="AY301" s="45"/>
      <c r="AZ301" s="45"/>
      <c r="BA301" s="45"/>
      <c r="BB301" s="45"/>
      <c r="BC301" s="45"/>
      <c r="BD301" s="45"/>
      <c r="BE301" s="45"/>
      <c r="BF301" s="45"/>
      <c r="BG301" s="45"/>
      <c r="BH301" s="45"/>
    </row>
    <row r="302" spans="8:60" ht="20.100000000000001" customHeight="1">
      <c r="H302" s="45"/>
      <c r="I302" s="45"/>
      <c r="J302" s="45"/>
      <c r="K302" s="45"/>
      <c r="L302" s="45"/>
      <c r="M302" s="45"/>
      <c r="N302" s="45"/>
      <c r="R302" s="45"/>
      <c r="S302" s="45"/>
      <c r="AB302" s="45"/>
      <c r="AE302" s="45"/>
      <c r="AF302" s="45"/>
      <c r="AG302" s="45"/>
      <c r="AH302" s="45"/>
      <c r="AI302" s="45"/>
      <c r="AJ302" s="45"/>
      <c r="AK302" s="45"/>
      <c r="AL302" s="45"/>
      <c r="AM302" s="45"/>
      <c r="AN302" s="45"/>
      <c r="AO302" s="45"/>
      <c r="AP302" s="45"/>
      <c r="AQ302" s="45"/>
      <c r="AR302" s="45"/>
      <c r="AS302" s="45"/>
      <c r="AT302" s="45"/>
      <c r="AU302" s="45"/>
      <c r="AV302" s="45"/>
      <c r="AW302" s="45"/>
      <c r="AX302" s="45"/>
      <c r="AY302" s="45"/>
      <c r="AZ302" s="45"/>
      <c r="BA302" s="45"/>
      <c r="BB302" s="45"/>
      <c r="BC302" s="45"/>
      <c r="BD302" s="45"/>
      <c r="BE302" s="45"/>
      <c r="BF302" s="45"/>
      <c r="BG302" s="45"/>
      <c r="BH302" s="45"/>
    </row>
    <row r="303" spans="8:60" ht="20.100000000000001" customHeight="1">
      <c r="H303" s="45"/>
      <c r="I303" s="45"/>
      <c r="J303" s="45"/>
      <c r="K303" s="45"/>
      <c r="L303" s="45"/>
      <c r="M303" s="45"/>
      <c r="N303" s="45"/>
      <c r="R303" s="45"/>
      <c r="S303" s="45"/>
      <c r="AB303" s="45"/>
      <c r="AE303" s="45"/>
      <c r="AF303" s="45"/>
      <c r="AG303" s="45"/>
      <c r="AH303" s="45"/>
      <c r="AI303" s="45"/>
      <c r="AJ303" s="45"/>
      <c r="AK303" s="45"/>
      <c r="AL303" s="45"/>
      <c r="AM303" s="45"/>
      <c r="AN303" s="45"/>
      <c r="AO303" s="45"/>
      <c r="AP303" s="45"/>
      <c r="AQ303" s="45"/>
      <c r="AR303" s="45"/>
      <c r="AS303" s="45"/>
      <c r="AT303" s="45"/>
      <c r="AU303" s="45"/>
      <c r="AV303" s="45"/>
      <c r="AW303" s="45"/>
      <c r="AX303" s="45"/>
      <c r="AY303" s="45"/>
      <c r="AZ303" s="45"/>
      <c r="BA303" s="45"/>
      <c r="BB303" s="45"/>
      <c r="BC303" s="45"/>
      <c r="BD303" s="45"/>
      <c r="BE303" s="45"/>
      <c r="BF303" s="45"/>
      <c r="BG303" s="45"/>
      <c r="BH303" s="45"/>
    </row>
    <row r="304" spans="8:60" ht="20.100000000000001" customHeight="1">
      <c r="H304" s="45"/>
      <c r="I304" s="45"/>
      <c r="J304" s="45"/>
      <c r="K304" s="45"/>
      <c r="L304" s="45"/>
      <c r="M304" s="45"/>
      <c r="N304" s="45"/>
      <c r="R304" s="45"/>
      <c r="S304" s="45"/>
      <c r="AB304" s="45"/>
      <c r="AE304" s="45"/>
      <c r="AF304" s="45"/>
      <c r="AG304" s="45"/>
      <c r="AH304" s="45"/>
      <c r="AI304" s="45"/>
      <c r="AJ304" s="45"/>
      <c r="AK304" s="45"/>
      <c r="AL304" s="45"/>
      <c r="AM304" s="45"/>
      <c r="AN304" s="45"/>
      <c r="AO304" s="45"/>
      <c r="AP304" s="45"/>
      <c r="AQ304" s="45"/>
      <c r="AR304" s="45"/>
      <c r="AS304" s="45"/>
      <c r="AT304" s="45"/>
      <c r="AU304" s="45"/>
      <c r="AV304" s="45"/>
      <c r="AW304" s="45"/>
      <c r="AX304" s="45"/>
      <c r="AY304" s="45"/>
      <c r="AZ304" s="45"/>
      <c r="BA304" s="45"/>
      <c r="BB304" s="45"/>
      <c r="BC304" s="45"/>
      <c r="BD304" s="45"/>
      <c r="BE304" s="45"/>
      <c r="BF304" s="45"/>
      <c r="BG304" s="45"/>
      <c r="BH304" s="45"/>
    </row>
    <row r="305" spans="8:60" ht="20.100000000000001" customHeight="1">
      <c r="H305" s="45"/>
      <c r="I305" s="45"/>
      <c r="J305" s="45"/>
      <c r="K305" s="45"/>
      <c r="L305" s="45"/>
      <c r="M305" s="45"/>
      <c r="N305" s="45"/>
      <c r="R305" s="45"/>
      <c r="S305" s="45"/>
      <c r="AB305" s="45"/>
      <c r="AE305" s="45"/>
      <c r="AF305" s="45"/>
      <c r="AG305" s="45"/>
      <c r="AH305" s="45"/>
      <c r="AI305" s="45"/>
      <c r="AJ305" s="45"/>
      <c r="AK305" s="45"/>
      <c r="AL305" s="45"/>
      <c r="AM305" s="45"/>
      <c r="AN305" s="45"/>
      <c r="AO305" s="45"/>
      <c r="AP305" s="45"/>
      <c r="AQ305" s="45"/>
      <c r="AR305" s="45"/>
      <c r="AS305" s="45"/>
      <c r="AT305" s="45"/>
      <c r="AU305" s="45"/>
      <c r="AV305" s="45"/>
      <c r="AW305" s="45"/>
      <c r="AX305" s="45"/>
      <c r="AY305" s="45"/>
      <c r="AZ305" s="45"/>
      <c r="BA305" s="45"/>
      <c r="BB305" s="45"/>
      <c r="BC305" s="45"/>
      <c r="BD305" s="45"/>
      <c r="BE305" s="45"/>
      <c r="BF305" s="45"/>
      <c r="BG305" s="45"/>
      <c r="BH305" s="45"/>
    </row>
    <row r="306" spans="8:60" ht="20.100000000000001" customHeight="1">
      <c r="H306" s="45"/>
      <c r="I306" s="45"/>
      <c r="J306" s="45"/>
      <c r="K306" s="45"/>
      <c r="L306" s="45"/>
      <c r="M306" s="45"/>
      <c r="N306" s="45"/>
      <c r="R306" s="45"/>
      <c r="S306" s="45"/>
      <c r="AB306" s="45"/>
      <c r="AE306" s="45"/>
      <c r="AF306" s="45"/>
      <c r="AG306" s="45"/>
      <c r="AH306" s="45"/>
      <c r="AI306" s="45"/>
      <c r="AJ306" s="45"/>
      <c r="AK306" s="45"/>
      <c r="AL306" s="45"/>
      <c r="AM306" s="45"/>
      <c r="AN306" s="45"/>
      <c r="AO306" s="45"/>
      <c r="AP306" s="45"/>
      <c r="AQ306" s="45"/>
      <c r="AR306" s="45"/>
      <c r="AS306" s="45"/>
      <c r="AT306" s="45"/>
      <c r="AU306" s="45"/>
      <c r="AV306" s="45"/>
      <c r="AW306" s="45"/>
      <c r="AX306" s="45"/>
      <c r="AY306" s="45"/>
      <c r="AZ306" s="45"/>
      <c r="BA306" s="45"/>
      <c r="BB306" s="45"/>
      <c r="BC306" s="45"/>
      <c r="BD306" s="45"/>
      <c r="BE306" s="45"/>
      <c r="BF306" s="45"/>
      <c r="BG306" s="45"/>
      <c r="BH306" s="45"/>
    </row>
    <row r="307" spans="8:60" ht="20.100000000000001" customHeight="1">
      <c r="H307" s="45"/>
      <c r="I307" s="45"/>
      <c r="J307" s="45"/>
      <c r="K307" s="45"/>
      <c r="L307" s="45"/>
      <c r="M307" s="45"/>
      <c r="N307" s="45"/>
      <c r="R307" s="45"/>
      <c r="S307" s="45"/>
      <c r="AB307" s="45"/>
      <c r="AE307" s="45"/>
      <c r="AF307" s="45"/>
      <c r="AG307" s="45"/>
      <c r="AH307" s="45"/>
      <c r="AI307" s="45"/>
      <c r="AJ307" s="45"/>
      <c r="AK307" s="45"/>
      <c r="AL307" s="45"/>
      <c r="AM307" s="45"/>
      <c r="AN307" s="45"/>
      <c r="AO307" s="45"/>
      <c r="AP307" s="45"/>
      <c r="AQ307" s="45"/>
      <c r="AR307" s="45"/>
      <c r="AS307" s="45"/>
      <c r="AT307" s="45"/>
      <c r="AU307" s="45"/>
      <c r="AV307" s="45"/>
      <c r="AW307" s="45"/>
      <c r="AX307" s="45"/>
      <c r="AY307" s="45"/>
      <c r="AZ307" s="45"/>
      <c r="BA307" s="45"/>
      <c r="BB307" s="45"/>
      <c r="BC307" s="45"/>
      <c r="BD307" s="45"/>
      <c r="BE307" s="45"/>
      <c r="BF307" s="45"/>
      <c r="BG307" s="45"/>
      <c r="BH307" s="45"/>
    </row>
    <row r="308" spans="8:60" ht="20.100000000000001" customHeight="1">
      <c r="H308" s="45"/>
      <c r="I308" s="45"/>
      <c r="J308" s="45"/>
      <c r="K308" s="45"/>
      <c r="L308" s="45"/>
      <c r="M308" s="45"/>
      <c r="N308" s="45"/>
      <c r="R308" s="45"/>
      <c r="S308" s="45"/>
      <c r="AB308" s="45"/>
      <c r="AE308" s="45"/>
      <c r="AF308" s="45"/>
      <c r="AG308" s="45"/>
      <c r="AH308" s="45"/>
      <c r="AI308" s="45"/>
      <c r="AJ308" s="45"/>
      <c r="AK308" s="45"/>
      <c r="AL308" s="45"/>
      <c r="AM308" s="45"/>
      <c r="AN308" s="45"/>
      <c r="AO308" s="45"/>
      <c r="AP308" s="45"/>
      <c r="AQ308" s="45"/>
      <c r="AR308" s="45"/>
      <c r="AS308" s="45"/>
      <c r="AT308" s="45"/>
      <c r="AU308" s="45"/>
      <c r="AV308" s="45"/>
      <c r="AW308" s="45"/>
      <c r="AX308" s="45"/>
      <c r="AY308" s="45"/>
      <c r="AZ308" s="45"/>
      <c r="BA308" s="45"/>
      <c r="BB308" s="45"/>
      <c r="BC308" s="45"/>
      <c r="BD308" s="45"/>
      <c r="BE308" s="45"/>
      <c r="BF308" s="45"/>
      <c r="BG308" s="45"/>
      <c r="BH308" s="45"/>
    </row>
    <row r="309" spans="8:60" ht="20.100000000000001" customHeight="1">
      <c r="H309" s="45"/>
      <c r="I309" s="45"/>
      <c r="J309" s="45"/>
      <c r="K309" s="45"/>
      <c r="L309" s="45"/>
      <c r="M309" s="45"/>
      <c r="N309" s="45"/>
      <c r="R309" s="45"/>
      <c r="S309" s="45"/>
      <c r="AB309" s="45"/>
      <c r="AE309" s="45"/>
      <c r="AF309" s="45"/>
      <c r="AG309" s="45"/>
      <c r="AH309" s="45"/>
      <c r="AI309" s="45"/>
      <c r="AJ309" s="45"/>
      <c r="AK309" s="45"/>
      <c r="AL309" s="45"/>
      <c r="AM309" s="45"/>
      <c r="AN309" s="45"/>
      <c r="AO309" s="45"/>
      <c r="AP309" s="45"/>
      <c r="AQ309" s="45"/>
      <c r="AR309" s="45"/>
      <c r="AS309" s="45"/>
      <c r="AT309" s="45"/>
      <c r="AU309" s="45"/>
      <c r="AV309" s="45"/>
      <c r="AW309" s="45"/>
      <c r="AX309" s="45"/>
      <c r="AY309" s="45"/>
      <c r="AZ309" s="45"/>
      <c r="BA309" s="45"/>
      <c r="BB309" s="45"/>
      <c r="BC309" s="45"/>
      <c r="BD309" s="45"/>
      <c r="BE309" s="45"/>
      <c r="BF309" s="45"/>
      <c r="BG309" s="45"/>
      <c r="BH309" s="45"/>
    </row>
    <row r="310" spans="8:60" ht="20.100000000000001" customHeight="1">
      <c r="H310" s="45"/>
      <c r="I310" s="45"/>
      <c r="J310" s="45"/>
      <c r="K310" s="45"/>
      <c r="L310" s="45"/>
      <c r="M310" s="45"/>
      <c r="N310" s="45"/>
      <c r="R310" s="45"/>
      <c r="S310" s="45"/>
      <c r="AB310" s="45"/>
      <c r="AE310" s="45"/>
      <c r="AF310" s="45"/>
      <c r="AG310" s="45"/>
      <c r="AH310" s="45"/>
      <c r="AI310" s="45"/>
      <c r="AJ310" s="45"/>
      <c r="AK310" s="45"/>
      <c r="AL310" s="45"/>
      <c r="AM310" s="45"/>
      <c r="AN310" s="45"/>
      <c r="AO310" s="45"/>
      <c r="AP310" s="45"/>
      <c r="AQ310" s="45"/>
      <c r="AR310" s="45"/>
      <c r="AS310" s="45"/>
      <c r="AT310" s="45"/>
      <c r="AU310" s="45"/>
      <c r="AV310" s="45"/>
      <c r="AW310" s="45"/>
      <c r="AX310" s="45"/>
      <c r="AY310" s="45"/>
      <c r="AZ310" s="45"/>
      <c r="BA310" s="45"/>
      <c r="BB310" s="45"/>
      <c r="BC310" s="45"/>
      <c r="BD310" s="45"/>
      <c r="BE310" s="45"/>
      <c r="BF310" s="45"/>
      <c r="BG310" s="45"/>
      <c r="BH310" s="45"/>
    </row>
    <row r="311" spans="8:60" ht="20.100000000000001" customHeight="1">
      <c r="H311" s="45"/>
      <c r="I311" s="45"/>
      <c r="J311" s="45"/>
      <c r="K311" s="45"/>
      <c r="L311" s="45"/>
      <c r="M311" s="45"/>
      <c r="N311" s="45"/>
      <c r="R311" s="45"/>
      <c r="S311" s="45"/>
      <c r="AB311" s="45"/>
      <c r="AE311" s="45"/>
      <c r="AF311" s="45"/>
      <c r="AG311" s="45"/>
      <c r="AH311" s="45"/>
      <c r="AI311" s="45"/>
      <c r="AJ311" s="45"/>
      <c r="AK311" s="45"/>
      <c r="AL311" s="45"/>
      <c r="AM311" s="45"/>
      <c r="AN311" s="45"/>
      <c r="AO311" s="45"/>
      <c r="AP311" s="45"/>
      <c r="AQ311" s="45"/>
      <c r="AR311" s="45"/>
      <c r="AS311" s="45"/>
      <c r="AT311" s="45"/>
      <c r="AU311" s="45"/>
      <c r="AV311" s="45"/>
      <c r="AW311" s="45"/>
      <c r="AX311" s="45"/>
      <c r="AY311" s="45"/>
      <c r="AZ311" s="45"/>
      <c r="BA311" s="45"/>
      <c r="BB311" s="45"/>
      <c r="BC311" s="45"/>
      <c r="BD311" s="45"/>
      <c r="BE311" s="45"/>
      <c r="BF311" s="45"/>
      <c r="BG311" s="45"/>
      <c r="BH311" s="45"/>
    </row>
    <row r="312" spans="8:60" ht="20.100000000000001" customHeight="1">
      <c r="H312" s="45"/>
      <c r="I312" s="45"/>
      <c r="J312" s="45"/>
      <c r="K312" s="45"/>
      <c r="L312" s="45"/>
      <c r="M312" s="45"/>
      <c r="N312" s="45"/>
      <c r="R312" s="45"/>
      <c r="S312" s="45"/>
      <c r="AB312" s="45"/>
      <c r="AE312" s="45"/>
      <c r="AF312" s="45"/>
      <c r="AG312" s="45"/>
      <c r="AH312" s="45"/>
      <c r="AI312" s="45"/>
      <c r="AJ312" s="45"/>
      <c r="AK312" s="45"/>
      <c r="AL312" s="45"/>
      <c r="AM312" s="45"/>
      <c r="AN312" s="45"/>
      <c r="AO312" s="45"/>
      <c r="AP312" s="45"/>
      <c r="AQ312" s="45"/>
      <c r="AR312" s="45"/>
      <c r="AS312" s="45"/>
      <c r="AT312" s="45"/>
      <c r="AU312" s="45"/>
      <c r="AV312" s="45"/>
      <c r="AW312" s="45"/>
      <c r="AX312" s="45"/>
      <c r="AY312" s="45"/>
      <c r="AZ312" s="45"/>
      <c r="BA312" s="45"/>
      <c r="BB312" s="45"/>
      <c r="BC312" s="45"/>
      <c r="BD312" s="45"/>
      <c r="BE312" s="45"/>
      <c r="BF312" s="45"/>
      <c r="BG312" s="45"/>
      <c r="BH312" s="45"/>
    </row>
    <row r="313" spans="8:60" ht="20.100000000000001" customHeight="1">
      <c r="H313" s="45"/>
      <c r="I313" s="45"/>
      <c r="J313" s="45"/>
      <c r="K313" s="45"/>
      <c r="L313" s="45"/>
      <c r="M313" s="45"/>
      <c r="N313" s="45"/>
      <c r="R313" s="45"/>
      <c r="S313" s="45"/>
      <c r="AB313" s="45"/>
      <c r="AE313" s="45"/>
      <c r="AF313" s="45"/>
      <c r="AG313" s="45"/>
      <c r="AH313" s="45"/>
      <c r="AI313" s="45"/>
      <c r="AJ313" s="45"/>
      <c r="AK313" s="45"/>
      <c r="AL313" s="45"/>
      <c r="AM313" s="45"/>
      <c r="AN313" s="45"/>
      <c r="AO313" s="45"/>
      <c r="AP313" s="45"/>
      <c r="AQ313" s="45"/>
      <c r="AR313" s="45"/>
      <c r="AS313" s="45"/>
      <c r="AT313" s="45"/>
      <c r="AU313" s="45"/>
      <c r="AV313" s="45"/>
      <c r="AW313" s="45"/>
      <c r="AX313" s="45"/>
      <c r="AY313" s="45"/>
      <c r="AZ313" s="45"/>
      <c r="BA313" s="45"/>
      <c r="BB313" s="45"/>
      <c r="BC313" s="45"/>
      <c r="BD313" s="45"/>
      <c r="BE313" s="45"/>
      <c r="BF313" s="45"/>
      <c r="BG313" s="45"/>
      <c r="BH313" s="45"/>
    </row>
    <row r="314" spans="8:60" ht="20.100000000000001" customHeight="1">
      <c r="H314" s="45"/>
      <c r="I314" s="45"/>
      <c r="J314" s="45"/>
      <c r="K314" s="45"/>
      <c r="L314" s="45"/>
      <c r="M314" s="45"/>
      <c r="N314" s="45"/>
      <c r="R314" s="45"/>
      <c r="S314" s="45"/>
      <c r="AB314" s="45"/>
      <c r="AE314" s="45"/>
      <c r="AF314" s="45"/>
      <c r="AG314" s="45"/>
      <c r="AH314" s="45"/>
      <c r="AI314" s="45"/>
      <c r="AJ314" s="45"/>
      <c r="AK314" s="45"/>
      <c r="AL314" s="45"/>
      <c r="AM314" s="45"/>
      <c r="AN314" s="45"/>
      <c r="AO314" s="45"/>
      <c r="AP314" s="45"/>
      <c r="AQ314" s="45"/>
      <c r="AR314" s="45"/>
      <c r="AS314" s="45"/>
      <c r="AT314" s="45"/>
      <c r="AU314" s="45"/>
      <c r="AV314" s="45"/>
      <c r="AW314" s="45"/>
      <c r="AX314" s="45"/>
      <c r="AY314" s="45"/>
      <c r="AZ314" s="45"/>
      <c r="BA314" s="45"/>
      <c r="BB314" s="45"/>
      <c r="BC314" s="45"/>
      <c r="BD314" s="45"/>
      <c r="BE314" s="45"/>
      <c r="BF314" s="45"/>
      <c r="BG314" s="45"/>
      <c r="BH314" s="45"/>
    </row>
    <row r="315" spans="8:60" ht="20.100000000000001" customHeight="1">
      <c r="H315" s="45"/>
      <c r="I315" s="45"/>
      <c r="J315" s="45"/>
      <c r="K315" s="45"/>
      <c r="L315" s="45"/>
      <c r="M315" s="45"/>
      <c r="N315" s="45"/>
      <c r="R315" s="45"/>
      <c r="S315" s="45"/>
      <c r="AB315" s="45"/>
      <c r="AE315" s="45"/>
      <c r="AF315" s="45"/>
      <c r="AG315" s="45"/>
      <c r="AH315" s="45"/>
      <c r="AI315" s="45"/>
      <c r="AJ315" s="45"/>
      <c r="AK315" s="45"/>
      <c r="AL315" s="45"/>
      <c r="AM315" s="45"/>
      <c r="AN315" s="45"/>
      <c r="AO315" s="45"/>
      <c r="AP315" s="45"/>
      <c r="AQ315" s="45"/>
      <c r="AR315" s="45"/>
      <c r="AS315" s="45"/>
      <c r="AT315" s="45"/>
      <c r="AU315" s="45"/>
      <c r="AV315" s="45"/>
      <c r="AW315" s="45"/>
      <c r="AX315" s="45"/>
      <c r="AY315" s="45"/>
      <c r="AZ315" s="45"/>
      <c r="BA315" s="45"/>
      <c r="BB315" s="45"/>
      <c r="BC315" s="45"/>
      <c r="BD315" s="45"/>
      <c r="BE315" s="45"/>
      <c r="BF315" s="45"/>
      <c r="BG315" s="45"/>
      <c r="BH315" s="45"/>
    </row>
    <row r="316" spans="8:60" ht="20.100000000000001" customHeight="1">
      <c r="H316" s="45"/>
      <c r="I316" s="45"/>
      <c r="J316" s="45"/>
      <c r="K316" s="45"/>
      <c r="L316" s="45"/>
      <c r="M316" s="45"/>
      <c r="N316" s="45"/>
      <c r="R316" s="45"/>
      <c r="S316" s="45"/>
      <c r="AB316" s="45"/>
      <c r="AE316" s="45"/>
      <c r="AF316" s="45"/>
      <c r="AG316" s="45"/>
      <c r="AH316" s="45"/>
      <c r="AI316" s="45"/>
      <c r="AJ316" s="45"/>
      <c r="AK316" s="45"/>
      <c r="AL316" s="45"/>
      <c r="AM316" s="45"/>
      <c r="AN316" s="45"/>
      <c r="AO316" s="45"/>
      <c r="AP316" s="45"/>
      <c r="AQ316" s="45"/>
      <c r="AR316" s="45"/>
      <c r="AS316" s="45"/>
      <c r="AT316" s="45"/>
      <c r="AU316" s="45"/>
      <c r="AV316" s="45"/>
      <c r="AW316" s="45"/>
      <c r="AX316" s="45"/>
      <c r="AY316" s="45"/>
      <c r="AZ316" s="45"/>
      <c r="BA316" s="45"/>
      <c r="BB316" s="45"/>
      <c r="BC316" s="45"/>
      <c r="BD316" s="45"/>
      <c r="BE316" s="45"/>
      <c r="BF316" s="45"/>
      <c r="BG316" s="45"/>
      <c r="BH316" s="45"/>
    </row>
    <row r="317" spans="8:60" ht="20.100000000000001" customHeight="1">
      <c r="H317" s="45"/>
      <c r="I317" s="45"/>
      <c r="J317" s="45"/>
      <c r="K317" s="45"/>
      <c r="L317" s="45"/>
      <c r="M317" s="45"/>
      <c r="N317" s="45"/>
      <c r="R317" s="45"/>
      <c r="S317" s="45"/>
      <c r="AB317" s="45"/>
      <c r="AE317" s="45"/>
      <c r="AF317" s="45"/>
      <c r="AG317" s="45"/>
      <c r="AH317" s="45"/>
      <c r="AI317" s="45"/>
      <c r="AJ317" s="45"/>
      <c r="AK317" s="45"/>
      <c r="AL317" s="45"/>
      <c r="AM317" s="45"/>
      <c r="AN317" s="45"/>
      <c r="AO317" s="45"/>
      <c r="AP317" s="45"/>
      <c r="AQ317" s="45"/>
      <c r="AR317" s="45"/>
      <c r="AS317" s="45"/>
      <c r="AT317" s="45"/>
      <c r="AU317" s="45"/>
      <c r="AV317" s="45"/>
      <c r="AW317" s="45"/>
      <c r="AX317" s="45"/>
      <c r="AY317" s="45"/>
      <c r="AZ317" s="45"/>
      <c r="BA317" s="45"/>
      <c r="BB317" s="45"/>
      <c r="BC317" s="45"/>
      <c r="BD317" s="45"/>
      <c r="BE317" s="45"/>
      <c r="BF317" s="45"/>
      <c r="BG317" s="45"/>
      <c r="BH317" s="45"/>
    </row>
    <row r="318" spans="8:60" ht="20.100000000000001" customHeight="1">
      <c r="H318" s="45"/>
      <c r="I318" s="45"/>
      <c r="J318" s="45"/>
      <c r="K318" s="45"/>
      <c r="L318" s="45"/>
      <c r="M318" s="45"/>
      <c r="N318" s="45"/>
      <c r="R318" s="45"/>
      <c r="S318" s="45"/>
      <c r="AB318" s="45"/>
      <c r="AE318" s="45"/>
      <c r="AF318" s="45"/>
      <c r="AG318" s="45"/>
      <c r="AH318" s="45"/>
      <c r="AI318" s="45"/>
      <c r="AJ318" s="45"/>
      <c r="AK318" s="45"/>
      <c r="AL318" s="45"/>
      <c r="AM318" s="45"/>
      <c r="AN318" s="45"/>
      <c r="AO318" s="45"/>
      <c r="AP318" s="45"/>
      <c r="AQ318" s="45"/>
      <c r="AR318" s="45"/>
      <c r="AS318" s="45"/>
      <c r="AT318" s="45"/>
      <c r="AU318" s="45"/>
      <c r="AV318" s="45"/>
      <c r="AW318" s="45"/>
      <c r="AX318" s="45"/>
      <c r="AY318" s="45"/>
      <c r="AZ318" s="45"/>
      <c r="BA318" s="45"/>
      <c r="BB318" s="45"/>
      <c r="BC318" s="45"/>
      <c r="BD318" s="45"/>
      <c r="BE318" s="45"/>
      <c r="BF318" s="45"/>
      <c r="BG318" s="45"/>
      <c r="BH318" s="45"/>
    </row>
    <row r="319" spans="8:60" ht="20.100000000000001" customHeight="1">
      <c r="H319" s="45"/>
      <c r="I319" s="45"/>
      <c r="J319" s="45"/>
      <c r="K319" s="45"/>
      <c r="L319" s="45"/>
      <c r="M319" s="45"/>
      <c r="N319" s="45"/>
      <c r="R319" s="45"/>
      <c r="S319" s="45"/>
      <c r="AB319" s="45"/>
      <c r="AE319" s="45"/>
      <c r="AF319" s="45"/>
      <c r="AG319" s="45"/>
      <c r="AH319" s="45"/>
      <c r="AI319" s="45"/>
      <c r="AJ319" s="45"/>
      <c r="AK319" s="45"/>
      <c r="AL319" s="45"/>
      <c r="AM319" s="45"/>
      <c r="AN319" s="45"/>
      <c r="AO319" s="45"/>
      <c r="AP319" s="45"/>
      <c r="AQ319" s="45"/>
      <c r="AR319" s="45"/>
      <c r="AS319" s="45"/>
      <c r="AT319" s="45"/>
      <c r="AU319" s="45"/>
      <c r="AV319" s="45"/>
      <c r="AW319" s="45"/>
      <c r="AX319" s="45"/>
      <c r="AY319" s="45"/>
      <c r="AZ319" s="45"/>
      <c r="BA319" s="45"/>
      <c r="BB319" s="45"/>
      <c r="BC319" s="45"/>
      <c r="BD319" s="45"/>
      <c r="BE319" s="45"/>
      <c r="BF319" s="45"/>
      <c r="BG319" s="45"/>
      <c r="BH319" s="45"/>
    </row>
  </sheetData>
  <phoneticPr fontId="25" type="noConversion"/>
  <hyperlinks>
    <hyperlink ref="E116" r:id="rId1"/>
    <hyperlink ref="E117:E120" r:id="rId2" display="http://shkr.cdn.9splay.com.tw/Image/show2.png"/>
    <hyperlink ref="E96" r:id="rId3"/>
    <hyperlink ref="E97" r:id="rId4"/>
    <hyperlink ref="E99" r:id="rId5"/>
    <hyperlink ref="E100" r:id="rId6"/>
  </hyperlinks>
  <pageMargins left="0.69930555555555596" right="0.69930555555555596" top="0.75" bottom="0.75" header="0.3" footer="0.3"/>
  <pageSetup paperSize="9" orientation="portrait" r:id="rId7"/>
  <headerFooter alignWithMargins="0"/>
  <legacy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selection activeCell="E32" sqref="E32"/>
    </sheetView>
  </sheetViews>
  <sheetFormatPr defaultRowHeight="14.25"/>
  <cols>
    <col min="1" max="1" width="8.5" style="45" customWidth="1"/>
    <col min="2" max="2" width="5.75" style="45" customWidth="1"/>
    <col min="3" max="3" width="8.375" style="45" customWidth="1"/>
    <col min="4" max="4" width="18.5" style="45" customWidth="1"/>
    <col min="5" max="5" width="44.625" style="45" customWidth="1"/>
  </cols>
  <sheetData>
    <row r="1" spans="1:5" ht="28.5">
      <c r="A1" s="5" t="s">
        <v>0</v>
      </c>
      <c r="B1" s="5" t="s">
        <v>1</v>
      </c>
      <c r="C1" s="5" t="s">
        <v>2</v>
      </c>
      <c r="D1" s="5" t="s">
        <v>3</v>
      </c>
      <c r="E1" s="5" t="s">
        <v>4</v>
      </c>
    </row>
    <row r="2" spans="1:5" ht="28.5">
      <c r="A2" s="8" t="s">
        <v>30</v>
      </c>
      <c r="B2" s="8" t="s">
        <v>31</v>
      </c>
      <c r="C2" s="8" t="s">
        <v>32</v>
      </c>
      <c r="D2" s="8" t="s">
        <v>33</v>
      </c>
      <c r="E2" s="8" t="s">
        <v>34</v>
      </c>
    </row>
    <row r="3" spans="1:5">
      <c r="A3" s="94" t="s">
        <v>613</v>
      </c>
      <c r="B3" s="74">
        <v>1</v>
      </c>
      <c r="C3" s="74">
        <v>1</v>
      </c>
      <c r="D3" s="115" t="str">
        <f>A3</f>
        <v>101001</v>
      </c>
      <c r="E3" s="137">
        <v>60</v>
      </c>
    </row>
    <row r="4" spans="1:5">
      <c r="A4" s="94" t="s">
        <v>66</v>
      </c>
      <c r="B4" s="74">
        <v>1</v>
      </c>
      <c r="C4" s="74">
        <v>1</v>
      </c>
      <c r="D4" s="115" t="str">
        <f t="shared" ref="D4:D19" si="0">A4</f>
        <v>101002</v>
      </c>
      <c r="E4" s="137">
        <v>1980</v>
      </c>
    </row>
    <row r="5" spans="1:5">
      <c r="A5" s="94" t="s">
        <v>67</v>
      </c>
      <c r="B5" s="74">
        <v>1</v>
      </c>
      <c r="C5" s="74">
        <v>1</v>
      </c>
      <c r="D5" s="115" t="str">
        <f t="shared" si="0"/>
        <v>101003</v>
      </c>
      <c r="E5" s="137">
        <v>3280</v>
      </c>
    </row>
    <row r="6" spans="1:5">
      <c r="A6" s="94" t="s">
        <v>68</v>
      </c>
      <c r="B6" s="74">
        <v>1</v>
      </c>
      <c r="C6" s="74">
        <v>1</v>
      </c>
      <c r="D6" s="115" t="str">
        <f t="shared" si="0"/>
        <v>101004</v>
      </c>
      <c r="E6" s="137">
        <v>6480</v>
      </c>
    </row>
    <row r="7" spans="1:5">
      <c r="A7" s="94" t="s">
        <v>69</v>
      </c>
      <c r="B7" s="74">
        <v>1</v>
      </c>
      <c r="C7" s="74">
        <v>1</v>
      </c>
      <c r="D7" s="115" t="str">
        <f t="shared" si="0"/>
        <v>101005</v>
      </c>
      <c r="E7" s="137">
        <v>10000</v>
      </c>
    </row>
    <row r="8" spans="1:5">
      <c r="A8" s="94" t="s">
        <v>223</v>
      </c>
      <c r="B8" s="74">
        <v>1</v>
      </c>
      <c r="C8" s="74">
        <v>1</v>
      </c>
      <c r="D8" s="115" t="str">
        <f t="shared" si="0"/>
        <v>101006</v>
      </c>
      <c r="E8" s="137">
        <v>16000</v>
      </c>
    </row>
    <row r="9" spans="1:5">
      <c r="A9" s="94" t="s">
        <v>224</v>
      </c>
      <c r="B9" s="74">
        <v>1</v>
      </c>
      <c r="C9" s="74">
        <v>1</v>
      </c>
      <c r="D9" s="115" t="str">
        <f t="shared" si="0"/>
        <v>101007</v>
      </c>
      <c r="E9" s="137">
        <v>24000</v>
      </c>
    </row>
    <row r="10" spans="1:5">
      <c r="A10" s="39" t="s">
        <v>657</v>
      </c>
      <c r="B10" s="201">
        <v>1</v>
      </c>
      <c r="C10" s="201">
        <v>2</v>
      </c>
      <c r="D10" s="115" t="str">
        <f t="shared" si="0"/>
        <v>102001</v>
      </c>
      <c r="E10" s="207" t="s">
        <v>659</v>
      </c>
    </row>
    <row r="11" spans="1:5">
      <c r="A11" s="39" t="s">
        <v>75</v>
      </c>
      <c r="B11" s="201">
        <v>1</v>
      </c>
      <c r="C11" s="201">
        <v>2</v>
      </c>
      <c r="D11" s="115" t="str">
        <f t="shared" si="0"/>
        <v>102002</v>
      </c>
      <c r="E11" s="207" t="s">
        <v>661</v>
      </c>
    </row>
    <row r="12" spans="1:5">
      <c r="A12" s="39" t="s">
        <v>79</v>
      </c>
      <c r="B12" s="201">
        <v>1</v>
      </c>
      <c r="C12" s="201">
        <v>2</v>
      </c>
      <c r="D12" s="115" t="str">
        <f t="shared" si="0"/>
        <v>102003</v>
      </c>
      <c r="E12" s="207" t="s">
        <v>662</v>
      </c>
    </row>
    <row r="13" spans="1:5">
      <c r="A13" s="39" t="s">
        <v>83</v>
      </c>
      <c r="B13" s="201">
        <v>1</v>
      </c>
      <c r="C13" s="201">
        <v>2</v>
      </c>
      <c r="D13" s="115" t="str">
        <f t="shared" si="0"/>
        <v>102004</v>
      </c>
      <c r="E13" s="207" t="s">
        <v>663</v>
      </c>
    </row>
    <row r="14" spans="1:5">
      <c r="A14" s="39" t="s">
        <v>87</v>
      </c>
      <c r="B14" s="201">
        <v>1</v>
      </c>
      <c r="C14" s="201">
        <v>2</v>
      </c>
      <c r="D14" s="115" t="str">
        <f t="shared" si="0"/>
        <v>102005</v>
      </c>
      <c r="E14" s="207" t="s">
        <v>664</v>
      </c>
    </row>
    <row r="15" spans="1:5">
      <c r="A15" s="39" t="s">
        <v>90</v>
      </c>
      <c r="B15" s="201">
        <v>1</v>
      </c>
      <c r="C15" s="201">
        <v>2</v>
      </c>
      <c r="D15" s="115" t="str">
        <f t="shared" si="0"/>
        <v>102006</v>
      </c>
      <c r="E15" s="207" t="s">
        <v>665</v>
      </c>
    </row>
    <row r="16" spans="1:5">
      <c r="A16" s="195" t="s">
        <v>1078</v>
      </c>
      <c r="B16" s="168">
        <v>1</v>
      </c>
      <c r="C16" s="168">
        <v>2</v>
      </c>
      <c r="D16" s="115" t="str">
        <f t="shared" si="0"/>
        <v>102007</v>
      </c>
      <c r="E16" s="167" t="s">
        <v>659</v>
      </c>
    </row>
    <row r="17" spans="1:5">
      <c r="A17" s="195" t="s">
        <v>1079</v>
      </c>
      <c r="B17" s="168">
        <v>1</v>
      </c>
      <c r="C17" s="168">
        <v>2</v>
      </c>
      <c r="D17" s="115" t="str">
        <f t="shared" si="0"/>
        <v>102008</v>
      </c>
      <c r="E17" s="167" t="s">
        <v>661</v>
      </c>
    </row>
    <row r="18" spans="1:5">
      <c r="A18" s="195" t="s">
        <v>1080</v>
      </c>
      <c r="B18" s="168">
        <v>1</v>
      </c>
      <c r="C18" s="168">
        <v>2</v>
      </c>
      <c r="D18" s="115" t="str">
        <f t="shared" si="0"/>
        <v>102009</v>
      </c>
      <c r="E18" s="167" t="s">
        <v>662</v>
      </c>
    </row>
    <row r="19" spans="1:5">
      <c r="A19" s="195" t="s">
        <v>1081</v>
      </c>
      <c r="B19" s="168">
        <v>1</v>
      </c>
      <c r="C19" s="168">
        <v>2</v>
      </c>
      <c r="D19" s="115" t="str">
        <f t="shared" si="0"/>
        <v>102010</v>
      </c>
      <c r="E19" s="167" t="s">
        <v>663</v>
      </c>
    </row>
  </sheetData>
  <phoneticPr fontId="25"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selection activeCell="D7" sqref="D7"/>
    </sheetView>
  </sheetViews>
  <sheetFormatPr defaultRowHeight="14.25"/>
  <cols>
    <col min="1" max="1" width="8.5" style="45" customWidth="1"/>
    <col min="2" max="2" width="5.75" style="45" customWidth="1"/>
    <col min="3" max="3" width="8.375" style="45" customWidth="1"/>
    <col min="4" max="4" width="18.5" style="45" customWidth="1"/>
    <col min="5" max="5" width="44.625" style="45" customWidth="1"/>
    <col min="6" max="6" width="53.25" style="72" customWidth="1"/>
  </cols>
  <sheetData>
    <row r="1" spans="1:6" ht="28.5">
      <c r="A1" s="5" t="s">
        <v>0</v>
      </c>
      <c r="B1" s="5" t="s">
        <v>1</v>
      </c>
      <c r="C1" s="5" t="s">
        <v>2</v>
      </c>
      <c r="D1" s="5" t="s">
        <v>3</v>
      </c>
      <c r="E1" s="5" t="s">
        <v>4</v>
      </c>
      <c r="F1" s="82" t="s">
        <v>574</v>
      </c>
    </row>
    <row r="2" spans="1:6" ht="28.5">
      <c r="A2" s="8" t="s">
        <v>30</v>
      </c>
      <c r="B2" s="8" t="s">
        <v>31</v>
      </c>
      <c r="C2" s="8" t="s">
        <v>32</v>
      </c>
      <c r="D2" s="8" t="s">
        <v>33</v>
      </c>
      <c r="E2" s="8" t="s">
        <v>34</v>
      </c>
      <c r="F2" s="85" t="s">
        <v>1230</v>
      </c>
    </row>
    <row r="3" spans="1:6">
      <c r="A3" s="93" t="s">
        <v>107</v>
      </c>
      <c r="B3" s="76">
        <v>5</v>
      </c>
      <c r="C3" s="76">
        <v>1</v>
      </c>
      <c r="D3" s="93" t="str">
        <f>A3</f>
        <v>105001</v>
      </c>
      <c r="E3" s="76" t="s">
        <v>1048</v>
      </c>
      <c r="F3" s="81"/>
    </row>
    <row r="4" spans="1:6">
      <c r="A4" s="93" t="s">
        <v>1058</v>
      </c>
      <c r="B4" s="76">
        <v>5</v>
      </c>
      <c r="C4" s="76">
        <v>1</v>
      </c>
      <c r="D4" s="93" t="str">
        <f t="shared" ref="D4:D23" si="0">A4</f>
        <v>105002</v>
      </c>
      <c r="E4" s="76" t="s">
        <v>109</v>
      </c>
      <c r="F4" s="81"/>
    </row>
    <row r="5" spans="1:6">
      <c r="A5" s="93" t="s">
        <v>114</v>
      </c>
      <c r="B5" s="76">
        <v>5</v>
      </c>
      <c r="C5" s="76">
        <v>1</v>
      </c>
      <c r="D5" s="93" t="str">
        <f t="shared" si="0"/>
        <v>105003</v>
      </c>
      <c r="E5" s="76" t="s">
        <v>1049</v>
      </c>
      <c r="F5" s="81"/>
    </row>
    <row r="6" spans="1:6">
      <c r="A6" s="93" t="s">
        <v>116</v>
      </c>
      <c r="B6" s="76">
        <v>5</v>
      </c>
      <c r="C6" s="76">
        <v>1</v>
      </c>
      <c r="D6" s="93" t="str">
        <f t="shared" si="0"/>
        <v>105004</v>
      </c>
      <c r="E6" s="76" t="s">
        <v>113</v>
      </c>
      <c r="F6" s="81"/>
    </row>
    <row r="7" spans="1:6">
      <c r="A7" s="93" t="s">
        <v>118</v>
      </c>
      <c r="B7" s="76">
        <v>5</v>
      </c>
      <c r="C7" s="76">
        <v>1</v>
      </c>
      <c r="D7" s="93" t="str">
        <f t="shared" si="0"/>
        <v>105005</v>
      </c>
      <c r="E7" s="76" t="s">
        <v>1050</v>
      </c>
      <c r="F7" s="81"/>
    </row>
    <row r="8" spans="1:6">
      <c r="A8" s="93" t="s">
        <v>120</v>
      </c>
      <c r="B8" s="76">
        <v>5</v>
      </c>
      <c r="C8" s="76">
        <v>1</v>
      </c>
      <c r="D8" s="93" t="str">
        <f t="shared" si="0"/>
        <v>105006</v>
      </c>
      <c r="E8" s="76" t="s">
        <v>115</v>
      </c>
      <c r="F8" s="81"/>
    </row>
    <row r="9" spans="1:6">
      <c r="A9" s="93" t="s">
        <v>122</v>
      </c>
      <c r="B9" s="76">
        <v>5</v>
      </c>
      <c r="C9" s="76">
        <v>1</v>
      </c>
      <c r="D9" s="93" t="str">
        <f t="shared" si="0"/>
        <v>105007</v>
      </c>
      <c r="E9" s="76" t="s">
        <v>117</v>
      </c>
      <c r="F9" s="81"/>
    </row>
    <row r="10" spans="1:6">
      <c r="A10" s="93" t="s">
        <v>124</v>
      </c>
      <c r="B10" s="76">
        <v>5</v>
      </c>
      <c r="C10" s="76">
        <v>1</v>
      </c>
      <c r="D10" s="93" t="str">
        <f t="shared" si="0"/>
        <v>105008</v>
      </c>
      <c r="E10" s="76" t="s">
        <v>119</v>
      </c>
      <c r="F10" s="81"/>
    </row>
    <row r="11" spans="1:6">
      <c r="A11" s="93" t="s">
        <v>1059</v>
      </c>
      <c r="B11" s="76">
        <v>5</v>
      </c>
      <c r="C11" s="76">
        <v>1</v>
      </c>
      <c r="D11" s="93" t="str">
        <f t="shared" si="0"/>
        <v>105009</v>
      </c>
      <c r="E11" s="76" t="s">
        <v>121</v>
      </c>
      <c r="F11" s="81"/>
    </row>
    <row r="12" spans="1:6">
      <c r="A12" s="93" t="s">
        <v>1051</v>
      </c>
      <c r="B12" s="76">
        <v>5</v>
      </c>
      <c r="C12" s="76">
        <v>1</v>
      </c>
      <c r="D12" s="93" t="str">
        <f t="shared" si="0"/>
        <v>105010</v>
      </c>
      <c r="E12" s="76" t="s">
        <v>123</v>
      </c>
      <c r="F12" s="81"/>
    </row>
    <row r="13" spans="1:6">
      <c r="A13" s="93" t="s">
        <v>1052</v>
      </c>
      <c r="B13" s="76">
        <v>5</v>
      </c>
      <c r="C13" s="76">
        <v>1</v>
      </c>
      <c r="D13" s="93" t="str">
        <f t="shared" si="0"/>
        <v>105011</v>
      </c>
      <c r="E13" s="76" t="s">
        <v>125</v>
      </c>
      <c r="F13" s="81"/>
    </row>
    <row r="14" spans="1:6">
      <c r="A14" s="93" t="s">
        <v>1053</v>
      </c>
      <c r="B14" s="76">
        <v>5</v>
      </c>
      <c r="C14" s="76">
        <v>1</v>
      </c>
      <c r="D14" s="93" t="str">
        <f t="shared" si="0"/>
        <v>105012</v>
      </c>
      <c r="E14" s="76" t="s">
        <v>692</v>
      </c>
      <c r="F14" s="81"/>
    </row>
    <row r="15" spans="1:6">
      <c r="A15" s="93" t="s">
        <v>694</v>
      </c>
      <c r="B15" s="76">
        <v>5</v>
      </c>
      <c r="C15" s="76">
        <v>2</v>
      </c>
      <c r="D15" s="93" t="str">
        <f t="shared" si="0"/>
        <v>105100</v>
      </c>
      <c r="E15" s="76" t="s">
        <v>696</v>
      </c>
      <c r="F15" s="81" t="s">
        <v>697</v>
      </c>
    </row>
    <row r="16" spans="1:6">
      <c r="A16" s="93" t="s">
        <v>376</v>
      </c>
      <c r="B16" s="76">
        <v>5</v>
      </c>
      <c r="C16" s="76">
        <v>2</v>
      </c>
      <c r="D16" s="93" t="str">
        <f t="shared" si="0"/>
        <v>105101</v>
      </c>
      <c r="E16" s="76" t="s">
        <v>699</v>
      </c>
      <c r="F16" s="81"/>
    </row>
    <row r="17" spans="1:6">
      <c r="A17" s="93" t="s">
        <v>377</v>
      </c>
      <c r="B17" s="76">
        <v>5</v>
      </c>
      <c r="C17" s="76">
        <v>2</v>
      </c>
      <c r="D17" s="93" t="str">
        <f t="shared" si="0"/>
        <v>105102</v>
      </c>
      <c r="E17" s="76" t="s">
        <v>701</v>
      </c>
      <c r="F17" s="81"/>
    </row>
    <row r="18" spans="1:6">
      <c r="A18" s="93" t="s">
        <v>378</v>
      </c>
      <c r="B18" s="76">
        <v>5</v>
      </c>
      <c r="C18" s="76">
        <v>2</v>
      </c>
      <c r="D18" s="93" t="str">
        <f t="shared" si="0"/>
        <v>105103</v>
      </c>
      <c r="E18" s="76" t="s">
        <v>703</v>
      </c>
      <c r="F18" s="81"/>
    </row>
    <row r="19" spans="1:6">
      <c r="A19" s="93" t="s">
        <v>379</v>
      </c>
      <c r="B19" s="76">
        <v>5</v>
      </c>
      <c r="C19" s="76">
        <v>2</v>
      </c>
      <c r="D19" s="93" t="str">
        <f t="shared" si="0"/>
        <v>105104</v>
      </c>
      <c r="E19" s="76" t="s">
        <v>705</v>
      </c>
      <c r="F19" s="81"/>
    </row>
    <row r="20" spans="1:6">
      <c r="A20" s="93" t="s">
        <v>380</v>
      </c>
      <c r="B20" s="76">
        <v>5</v>
      </c>
      <c r="C20" s="76">
        <v>2</v>
      </c>
      <c r="D20" s="93" t="str">
        <f t="shared" si="0"/>
        <v>105105</v>
      </c>
      <c r="E20" s="76" t="s">
        <v>708</v>
      </c>
      <c r="F20" s="81"/>
    </row>
    <row r="21" spans="1:6">
      <c r="A21" s="93" t="s">
        <v>381</v>
      </c>
      <c r="B21" s="76">
        <v>5</v>
      </c>
      <c r="C21" s="76">
        <v>2</v>
      </c>
      <c r="D21" s="93" t="str">
        <f t="shared" si="0"/>
        <v>105106</v>
      </c>
      <c r="E21" s="76" t="s">
        <v>710</v>
      </c>
      <c r="F21" s="81"/>
    </row>
    <row r="22" spans="1:6">
      <c r="A22" s="93" t="s">
        <v>382</v>
      </c>
      <c r="B22" s="76">
        <v>5</v>
      </c>
      <c r="C22" s="76">
        <v>2</v>
      </c>
      <c r="D22" s="93" t="str">
        <f t="shared" si="0"/>
        <v>105107</v>
      </c>
      <c r="E22" s="76" t="s">
        <v>123</v>
      </c>
      <c r="F22" s="81"/>
    </row>
    <row r="23" spans="1:6">
      <c r="A23" s="93" t="s">
        <v>383</v>
      </c>
      <c r="B23" s="76">
        <v>5</v>
      </c>
      <c r="C23" s="76">
        <v>2</v>
      </c>
      <c r="D23" s="93" t="str">
        <f t="shared" si="0"/>
        <v>105108</v>
      </c>
      <c r="E23" s="76" t="s">
        <v>714</v>
      </c>
      <c r="F23" s="81"/>
    </row>
  </sheetData>
  <phoneticPr fontId="2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4"/>
  <sheetViews>
    <sheetView tabSelected="1" workbookViewId="0">
      <selection activeCell="D9" sqref="D9"/>
    </sheetView>
  </sheetViews>
  <sheetFormatPr defaultRowHeight="14.25"/>
  <cols>
    <col min="1" max="1" width="8.5" style="45" customWidth="1"/>
    <col min="2" max="2" width="5.75" style="45" customWidth="1"/>
    <col min="3" max="3" width="8.375" style="45" customWidth="1"/>
    <col min="4" max="4" width="33.5" style="45" customWidth="1"/>
    <col min="5" max="5" width="44.625" style="45" customWidth="1"/>
    <col min="6" max="6" width="19.5" style="45" customWidth="1"/>
  </cols>
  <sheetData>
    <row r="1" spans="1:6" ht="28.5">
      <c r="A1" s="5" t="s">
        <v>0</v>
      </c>
      <c r="B1" s="5" t="s">
        <v>1</v>
      </c>
      <c r="C1" s="5" t="s">
        <v>2</v>
      </c>
      <c r="D1" s="5" t="s">
        <v>3</v>
      </c>
      <c r="E1" s="5" t="s">
        <v>4</v>
      </c>
      <c r="F1" s="5" t="s">
        <v>6</v>
      </c>
    </row>
    <row r="2" spans="1:6" ht="28.5">
      <c r="A2" s="8" t="s">
        <v>30</v>
      </c>
      <c r="B2" s="8" t="s">
        <v>31</v>
      </c>
      <c r="C2" s="8" t="s">
        <v>32</v>
      </c>
      <c r="D2" s="8" t="s">
        <v>33</v>
      </c>
      <c r="E2" s="8" t="s">
        <v>34</v>
      </c>
      <c r="F2" s="8" t="s">
        <v>36</v>
      </c>
    </row>
    <row r="3" spans="1:6" ht="40.5">
      <c r="A3" s="238" t="s">
        <v>1232</v>
      </c>
      <c r="B3" s="239">
        <v>24</v>
      </c>
      <c r="C3" s="239">
        <v>3</v>
      </c>
      <c r="D3" s="238" t="s">
        <v>1233</v>
      </c>
      <c r="E3" s="251" t="s">
        <v>1126</v>
      </c>
      <c r="F3" s="251" t="s">
        <v>797</v>
      </c>
    </row>
    <row r="4" spans="1:6" ht="40.5">
      <c r="A4" s="335" t="s">
        <v>1231</v>
      </c>
      <c r="B4" s="336">
        <v>24</v>
      </c>
      <c r="C4" s="336">
        <v>3</v>
      </c>
      <c r="D4" s="338" t="str">
        <f t="shared" ref="D4" si="0">A4</f>
        <v>124310</v>
      </c>
      <c r="E4" s="337" t="s">
        <v>1126</v>
      </c>
      <c r="F4" s="337" t="s">
        <v>797</v>
      </c>
    </row>
    <row r="5" spans="1:6">
      <c r="A5" s="335" t="s">
        <v>1231</v>
      </c>
      <c r="B5" s="336"/>
      <c r="C5" s="336"/>
      <c r="D5" s="338" t="s">
        <v>1235</v>
      </c>
      <c r="E5" s="337"/>
      <c r="F5" s="337"/>
    </row>
    <row r="6" spans="1:6">
      <c r="A6" s="335" t="s">
        <v>1231</v>
      </c>
      <c r="B6" s="336"/>
      <c r="C6" s="336"/>
      <c r="D6" s="338" t="s">
        <v>1234</v>
      </c>
      <c r="E6" s="337"/>
      <c r="F6" s="337"/>
    </row>
    <row r="7" spans="1:6" ht="27">
      <c r="A7" s="101" t="s">
        <v>1181</v>
      </c>
      <c r="B7" s="78">
        <v>24</v>
      </c>
      <c r="C7" s="78">
        <v>3</v>
      </c>
      <c r="D7" s="238" t="str">
        <f t="shared" ref="D7:D69" si="1">A7</f>
        <v>124303</v>
      </c>
      <c r="E7" s="274" t="s">
        <v>797</v>
      </c>
      <c r="F7" s="274"/>
    </row>
    <row r="8" spans="1:6" ht="27">
      <c r="A8" s="101" t="s">
        <v>803</v>
      </c>
      <c r="B8" s="78">
        <v>24</v>
      </c>
      <c r="C8" s="78">
        <v>3</v>
      </c>
      <c r="D8" s="238" t="str">
        <f t="shared" si="1"/>
        <v>124304</v>
      </c>
      <c r="E8" s="274" t="s">
        <v>797</v>
      </c>
      <c r="F8" s="274"/>
    </row>
    <row r="9" spans="1:6" ht="28.5">
      <c r="A9" s="101" t="s">
        <v>1183</v>
      </c>
      <c r="B9" s="78">
        <v>24</v>
      </c>
      <c r="C9" s="78">
        <v>4</v>
      </c>
      <c r="D9" s="238" t="str">
        <f t="shared" si="1"/>
        <v>124403</v>
      </c>
      <c r="E9" s="281" t="str">
        <f>"[fff600]恭喜您获得[70e6ff]60[-]钻奖励，战力狂飙[70e6ff]"&amp;F9&amp;"[-][-]"</f>
        <v>[fff600]恭喜您获得[70e6ff]60[-]钻奖励，战力狂飙[70e6ff]Xianshishouchong[-][-]</v>
      </c>
      <c r="F9" s="274" t="s">
        <v>807</v>
      </c>
    </row>
    <row r="10" spans="1:6" ht="28.5">
      <c r="A10" s="101" t="s">
        <v>808</v>
      </c>
      <c r="B10" s="78">
        <v>24</v>
      </c>
      <c r="C10" s="78">
        <v>4</v>
      </c>
      <c r="D10" s="238" t="str">
        <f t="shared" si="1"/>
        <v>124405</v>
      </c>
      <c r="E10" s="281" t="str">
        <f>"[fff600]恭喜您获得[70e6ff]300[-]钻奖励，战力狂飙[70e6ff]"&amp;F10&amp;"[-][-]"</f>
        <v>[fff600]恭喜您获得[70e6ff]300[-]钻奖励，战力狂飙[70e6ff]Xianshishouchong[-][-]</v>
      </c>
      <c r="F10" s="274" t="s">
        <v>807</v>
      </c>
    </row>
    <row r="11" spans="1:6" ht="28.5">
      <c r="A11" s="101" t="s">
        <v>1184</v>
      </c>
      <c r="B11" s="78">
        <v>24</v>
      </c>
      <c r="C11" s="78">
        <v>4</v>
      </c>
      <c r="D11" s="238" t="str">
        <f t="shared" si="1"/>
        <v>124401</v>
      </c>
      <c r="E11" s="281" t="str">
        <f>"[fff600]恭喜您获得[70e6ff]980[-]钻奖励，战力狂飙[70e6ff]"&amp;F11&amp;"[-][-]"</f>
        <v>[fff600]恭喜您获得[70e6ff]980[-]钻奖励，战力狂飙[70e6ff]Xianshishouchong[-][-]</v>
      </c>
      <c r="F11" s="274" t="s">
        <v>807</v>
      </c>
    </row>
    <row r="12" spans="1:6" ht="28.5">
      <c r="A12" s="101" t="s">
        <v>809</v>
      </c>
      <c r="B12" s="78">
        <v>24</v>
      </c>
      <c r="C12" s="78">
        <v>4</v>
      </c>
      <c r="D12" s="238" t="str">
        <f t="shared" si="1"/>
        <v>124404</v>
      </c>
      <c r="E12" s="281" t="str">
        <f>"[fff600]恭喜您获得[70e6ff]1980[-]钻奖励，战力狂飙[70e6ff]"&amp;F12&amp;"[-][-]"</f>
        <v>[fff600]恭喜您获得[70e6ff]1980[-]钻奖励，战力狂飙[70e6ff]Xianshishouchong[-][-]</v>
      </c>
      <c r="F12" s="274" t="s">
        <v>807</v>
      </c>
    </row>
    <row r="13" spans="1:6" ht="28.5">
      <c r="A13" s="101" t="s">
        <v>1186</v>
      </c>
      <c r="B13" s="78">
        <v>24</v>
      </c>
      <c r="C13" s="78">
        <v>4</v>
      </c>
      <c r="D13" s="238" t="str">
        <f t="shared" si="1"/>
        <v>124402</v>
      </c>
      <c r="E13" s="281" t="str">
        <f>"[fff600]恭喜您获得[70e6ff]3280[-]钻奖励，战力狂飙[70e6ff]"&amp;F13&amp;"[-][-]"</f>
        <v>[fff600]恭喜您获得[70e6ff]3280[-]钻奖励，战力狂飙[70e6ff]Xianshishouchong[-][-]</v>
      </c>
      <c r="F13" s="274" t="s">
        <v>807</v>
      </c>
    </row>
    <row r="14" spans="1:6" ht="28.5">
      <c r="A14" s="101" t="s">
        <v>813</v>
      </c>
      <c r="B14" s="78">
        <v>24</v>
      </c>
      <c r="C14" s="78">
        <v>4</v>
      </c>
      <c r="D14" s="238" t="str">
        <f t="shared" si="1"/>
        <v>124406</v>
      </c>
      <c r="E14" s="281" t="str">
        <f>"[fff600]首次充值[70e6ff]6480[-]钻可获得神圣之翼、稀有时装、珍奇守护、强力武器，战力狂飙[70e6ff]"&amp;F14&amp;"[-][-]"</f>
        <v>[fff600]首次充值[70e6ff]6480[-]钻可获得神圣之翼、稀有时装、珍奇守护、强力武器，战力狂飙[70e6ff]Xianshishouchong[-][-]</v>
      </c>
      <c r="F14" s="274" t="s">
        <v>807</v>
      </c>
    </row>
    <row r="15" spans="1:6">
      <c r="A15" s="101" t="s">
        <v>815</v>
      </c>
      <c r="B15" s="78">
        <v>24</v>
      </c>
      <c r="C15" s="78">
        <v>5</v>
      </c>
      <c r="D15" s="238" t="str">
        <f t="shared" si="1"/>
        <v>125001</v>
      </c>
      <c r="E15" s="274" t="s">
        <v>1187</v>
      </c>
      <c r="F15" s="274" t="s">
        <v>781</v>
      </c>
    </row>
    <row r="16" spans="1:6">
      <c r="A16" s="101" t="s">
        <v>817</v>
      </c>
      <c r="B16" s="78">
        <v>24</v>
      </c>
      <c r="C16" s="78">
        <v>5</v>
      </c>
      <c r="D16" s="238" t="str">
        <f t="shared" si="1"/>
        <v>125002</v>
      </c>
      <c r="E16" s="274" t="s">
        <v>1188</v>
      </c>
      <c r="F16" s="274" t="s">
        <v>781</v>
      </c>
    </row>
    <row r="17" spans="1:6">
      <c r="A17" s="101" t="s">
        <v>818</v>
      </c>
      <c r="B17" s="78">
        <v>24</v>
      </c>
      <c r="C17" s="78">
        <v>5</v>
      </c>
      <c r="D17" s="238" t="str">
        <f t="shared" si="1"/>
        <v>125003</v>
      </c>
      <c r="E17" s="274" t="s">
        <v>819</v>
      </c>
      <c r="F17" s="274" t="s">
        <v>781</v>
      </c>
    </row>
    <row r="18" spans="1:6">
      <c r="A18" s="101" t="s">
        <v>820</v>
      </c>
      <c r="B18" s="78">
        <v>24</v>
      </c>
      <c r="C18" s="78">
        <v>5</v>
      </c>
      <c r="D18" s="238" t="str">
        <f t="shared" si="1"/>
        <v>125004</v>
      </c>
      <c r="E18" s="274" t="s">
        <v>821</v>
      </c>
      <c r="F18" s="274" t="s">
        <v>781</v>
      </c>
    </row>
    <row r="19" spans="1:6">
      <c r="A19" s="101" t="s">
        <v>822</v>
      </c>
      <c r="B19" s="78">
        <v>24</v>
      </c>
      <c r="C19" s="78">
        <v>5</v>
      </c>
      <c r="D19" s="238" t="str">
        <f t="shared" si="1"/>
        <v>125005</v>
      </c>
      <c r="E19" s="274" t="s">
        <v>823</v>
      </c>
      <c r="F19" s="274" t="s">
        <v>781</v>
      </c>
    </row>
    <row r="20" spans="1:6">
      <c r="A20" s="101" t="s">
        <v>824</v>
      </c>
      <c r="B20" s="78">
        <v>24</v>
      </c>
      <c r="C20" s="78">
        <v>5</v>
      </c>
      <c r="D20" s="238" t="str">
        <f t="shared" si="1"/>
        <v>125006</v>
      </c>
      <c r="E20" s="274" t="s">
        <v>1189</v>
      </c>
      <c r="F20" s="274" t="s">
        <v>781</v>
      </c>
    </row>
    <row r="21" spans="1:6">
      <c r="A21" s="101" t="s">
        <v>826</v>
      </c>
      <c r="B21" s="78">
        <v>24</v>
      </c>
      <c r="C21" s="78">
        <v>5</v>
      </c>
      <c r="D21" s="238" t="str">
        <f t="shared" si="1"/>
        <v>125007</v>
      </c>
      <c r="E21" s="274" t="s">
        <v>827</v>
      </c>
      <c r="F21" s="274" t="s">
        <v>781</v>
      </c>
    </row>
    <row r="22" spans="1:6" ht="27">
      <c r="A22" s="285" t="s">
        <v>828</v>
      </c>
      <c r="B22" s="283">
        <v>24</v>
      </c>
      <c r="C22" s="283">
        <v>6</v>
      </c>
      <c r="D22" s="238" t="str">
        <f t="shared" si="1"/>
        <v>124601</v>
      </c>
      <c r="E22" s="295" t="s">
        <v>1191</v>
      </c>
      <c r="F22" s="295"/>
    </row>
    <row r="23" spans="1:6" ht="27">
      <c r="A23" s="285" t="s">
        <v>831</v>
      </c>
      <c r="B23" s="283">
        <v>24</v>
      </c>
      <c r="C23" s="283">
        <v>6</v>
      </c>
      <c r="D23" s="238" t="str">
        <f t="shared" si="1"/>
        <v>124602</v>
      </c>
      <c r="E23" s="295" t="s">
        <v>1191</v>
      </c>
      <c r="F23" s="295"/>
    </row>
    <row r="24" spans="1:6" ht="27">
      <c r="A24" s="285" t="s">
        <v>834</v>
      </c>
      <c r="B24" s="283">
        <v>24</v>
      </c>
      <c r="C24" s="283">
        <v>6</v>
      </c>
      <c r="D24" s="238" t="str">
        <f t="shared" si="1"/>
        <v>124603</v>
      </c>
      <c r="E24" s="295" t="s">
        <v>1191</v>
      </c>
      <c r="F24" s="295"/>
    </row>
    <row r="25" spans="1:6" ht="27">
      <c r="A25" s="285" t="s">
        <v>837</v>
      </c>
      <c r="B25" s="283">
        <v>24</v>
      </c>
      <c r="C25" s="283">
        <v>6</v>
      </c>
      <c r="D25" s="238" t="str">
        <f t="shared" si="1"/>
        <v>124604</v>
      </c>
      <c r="E25" s="295" t="s">
        <v>1191</v>
      </c>
      <c r="F25" s="295"/>
    </row>
    <row r="26" spans="1:6" ht="27">
      <c r="A26" s="285" t="s">
        <v>839</v>
      </c>
      <c r="B26" s="283">
        <v>24</v>
      </c>
      <c r="C26" s="283">
        <v>6</v>
      </c>
      <c r="D26" s="238" t="str">
        <f t="shared" si="1"/>
        <v>124605</v>
      </c>
      <c r="E26" s="295" t="s">
        <v>1191</v>
      </c>
      <c r="F26" s="295"/>
    </row>
    <row r="27" spans="1:6">
      <c r="A27" s="78">
        <v>125101</v>
      </c>
      <c r="B27" s="78">
        <v>25</v>
      </c>
      <c r="C27" s="78">
        <v>1</v>
      </c>
      <c r="D27" s="238">
        <f t="shared" si="1"/>
        <v>125101</v>
      </c>
      <c r="E27" s="78" t="s">
        <v>841</v>
      </c>
      <c r="F27" s="78" t="s">
        <v>412</v>
      </c>
    </row>
    <row r="28" spans="1:6">
      <c r="A28" s="78">
        <v>125201</v>
      </c>
      <c r="B28" s="78">
        <v>25</v>
      </c>
      <c r="C28" s="78">
        <v>2</v>
      </c>
      <c r="D28" s="238">
        <f t="shared" si="1"/>
        <v>125201</v>
      </c>
      <c r="E28" s="78" t="s">
        <v>843</v>
      </c>
      <c r="F28" s="78" t="s">
        <v>412</v>
      </c>
    </row>
    <row r="29" spans="1:6">
      <c r="A29" s="78">
        <v>125301</v>
      </c>
      <c r="B29" s="78">
        <v>25</v>
      </c>
      <c r="C29" s="78">
        <v>3</v>
      </c>
      <c r="D29" s="238">
        <f t="shared" si="1"/>
        <v>125301</v>
      </c>
      <c r="E29" s="78" t="s">
        <v>845</v>
      </c>
      <c r="F29" s="78" t="s">
        <v>412</v>
      </c>
    </row>
    <row r="30" spans="1:6">
      <c r="A30" s="78">
        <v>125401</v>
      </c>
      <c r="B30" s="78">
        <v>25</v>
      </c>
      <c r="C30" s="78">
        <v>4</v>
      </c>
      <c r="D30" s="238">
        <f t="shared" si="1"/>
        <v>125401</v>
      </c>
      <c r="E30" s="78" t="s">
        <v>847</v>
      </c>
      <c r="F30" s="78" t="s">
        <v>412</v>
      </c>
    </row>
    <row r="31" spans="1:6">
      <c r="A31" s="78">
        <v>125501</v>
      </c>
      <c r="B31" s="78">
        <v>25</v>
      </c>
      <c r="C31" s="78">
        <v>5</v>
      </c>
      <c r="D31" s="238">
        <f t="shared" si="1"/>
        <v>125501</v>
      </c>
      <c r="E31" s="78" t="s">
        <v>849</v>
      </c>
      <c r="F31" s="78" t="s">
        <v>412</v>
      </c>
    </row>
    <row r="32" spans="1:6">
      <c r="A32" s="78">
        <v>125601</v>
      </c>
      <c r="B32" s="78">
        <v>25</v>
      </c>
      <c r="C32" s="78">
        <v>6</v>
      </c>
      <c r="D32" s="238">
        <f t="shared" si="1"/>
        <v>125601</v>
      </c>
      <c r="E32" s="78" t="s">
        <v>851</v>
      </c>
      <c r="F32" s="78" t="s">
        <v>412</v>
      </c>
    </row>
    <row r="33" spans="1:6">
      <c r="A33" s="78">
        <v>125701</v>
      </c>
      <c r="B33" s="78">
        <v>25</v>
      </c>
      <c r="C33" s="78">
        <v>7</v>
      </c>
      <c r="D33" s="238">
        <f t="shared" si="1"/>
        <v>125701</v>
      </c>
      <c r="E33" s="78" t="s">
        <v>853</v>
      </c>
      <c r="F33" s="78" t="s">
        <v>412</v>
      </c>
    </row>
    <row r="34" spans="1:6">
      <c r="A34" s="78">
        <v>125801</v>
      </c>
      <c r="B34" s="78">
        <v>25</v>
      </c>
      <c r="C34" s="78">
        <v>8</v>
      </c>
      <c r="D34" s="238">
        <f t="shared" si="1"/>
        <v>125801</v>
      </c>
      <c r="E34" s="78" t="s">
        <v>1229</v>
      </c>
      <c r="F34" s="78" t="s">
        <v>412</v>
      </c>
    </row>
    <row r="35" spans="1:6">
      <c r="A35" s="78">
        <v>125901</v>
      </c>
      <c r="B35" s="78">
        <v>25</v>
      </c>
      <c r="C35" s="78">
        <v>9</v>
      </c>
      <c r="D35" s="238">
        <f t="shared" si="1"/>
        <v>125901</v>
      </c>
      <c r="E35" s="78" t="s">
        <v>851</v>
      </c>
      <c r="F35" s="78" t="s">
        <v>412</v>
      </c>
    </row>
    <row r="36" spans="1:6">
      <c r="A36" s="316">
        <v>126008</v>
      </c>
      <c r="B36" s="317">
        <v>26</v>
      </c>
      <c r="C36" s="317">
        <v>1</v>
      </c>
      <c r="D36" s="238">
        <f t="shared" si="1"/>
        <v>126008</v>
      </c>
      <c r="E36" s="319" t="s">
        <v>856</v>
      </c>
      <c r="F36" s="317" t="s">
        <v>857</v>
      </c>
    </row>
    <row r="37" spans="1:6">
      <c r="A37" s="316">
        <v>126009</v>
      </c>
      <c r="B37" s="317">
        <v>26</v>
      </c>
      <c r="C37" s="317">
        <v>1</v>
      </c>
      <c r="D37" s="238">
        <f t="shared" si="1"/>
        <v>126009</v>
      </c>
      <c r="E37" s="319" t="s">
        <v>859</v>
      </c>
      <c r="F37" s="317" t="s">
        <v>857</v>
      </c>
    </row>
    <row r="38" spans="1:6">
      <c r="A38" s="316">
        <v>126010</v>
      </c>
      <c r="B38" s="317">
        <v>26</v>
      </c>
      <c r="C38" s="317">
        <v>1</v>
      </c>
      <c r="D38" s="238">
        <f t="shared" si="1"/>
        <v>126010</v>
      </c>
      <c r="E38" s="319" t="s">
        <v>860</v>
      </c>
      <c r="F38" s="317" t="s">
        <v>857</v>
      </c>
    </row>
    <row r="39" spans="1:6">
      <c r="A39" s="316">
        <v>126011</v>
      </c>
      <c r="B39" s="317">
        <v>26</v>
      </c>
      <c r="C39" s="317">
        <v>1</v>
      </c>
      <c r="D39" s="238">
        <f t="shared" si="1"/>
        <v>126011</v>
      </c>
      <c r="E39" s="319" t="s">
        <v>861</v>
      </c>
      <c r="F39" s="317" t="s">
        <v>857</v>
      </c>
    </row>
    <row r="40" spans="1:6">
      <c r="A40" s="316">
        <v>126012</v>
      </c>
      <c r="B40" s="317">
        <v>26</v>
      </c>
      <c r="C40" s="317">
        <v>1</v>
      </c>
      <c r="D40" s="238">
        <f t="shared" si="1"/>
        <v>126012</v>
      </c>
      <c r="E40" s="319" t="s">
        <v>862</v>
      </c>
      <c r="F40" s="317" t="s">
        <v>857</v>
      </c>
    </row>
    <row r="41" spans="1:6">
      <c r="A41" s="316">
        <v>126013</v>
      </c>
      <c r="B41" s="317">
        <v>26</v>
      </c>
      <c r="C41" s="317">
        <v>1</v>
      </c>
      <c r="D41" s="238">
        <f t="shared" si="1"/>
        <v>126013</v>
      </c>
      <c r="E41" s="319" t="s">
        <v>863</v>
      </c>
      <c r="F41" s="317" t="s">
        <v>857</v>
      </c>
    </row>
    <row r="42" spans="1:6">
      <c r="A42" s="316">
        <v>126014</v>
      </c>
      <c r="B42" s="317">
        <v>26</v>
      </c>
      <c r="C42" s="317">
        <v>1</v>
      </c>
      <c r="D42" s="238">
        <f t="shared" si="1"/>
        <v>126014</v>
      </c>
      <c r="E42" s="319" t="s">
        <v>864</v>
      </c>
      <c r="F42" s="317" t="s">
        <v>857</v>
      </c>
    </row>
    <row r="43" spans="1:6">
      <c r="A43" s="316">
        <v>126015</v>
      </c>
      <c r="B43" s="317">
        <v>26</v>
      </c>
      <c r="C43" s="317">
        <v>1</v>
      </c>
      <c r="D43" s="238">
        <f t="shared" si="1"/>
        <v>126015</v>
      </c>
      <c r="E43" s="319" t="s">
        <v>993</v>
      </c>
      <c r="F43" s="317" t="s">
        <v>857</v>
      </c>
    </row>
    <row r="44" spans="1:6">
      <c r="A44" s="316">
        <v>126016</v>
      </c>
      <c r="B44" s="317">
        <v>26</v>
      </c>
      <c r="C44" s="317">
        <v>1</v>
      </c>
      <c r="D44" s="238">
        <f t="shared" si="1"/>
        <v>126016</v>
      </c>
      <c r="E44" s="319" t="s">
        <v>994</v>
      </c>
      <c r="F44" s="317" t="s">
        <v>857</v>
      </c>
    </row>
    <row r="45" spans="1:6">
      <c r="A45" s="316">
        <v>126017</v>
      </c>
      <c r="B45" s="317">
        <v>26</v>
      </c>
      <c r="C45" s="317">
        <v>1</v>
      </c>
      <c r="D45" s="238">
        <f t="shared" si="1"/>
        <v>126017</v>
      </c>
      <c r="E45" s="319" t="s">
        <v>995</v>
      </c>
      <c r="F45" s="317" t="s">
        <v>857</v>
      </c>
    </row>
    <row r="46" spans="1:6">
      <c r="A46" s="316">
        <v>126018</v>
      </c>
      <c r="B46" s="317">
        <v>26</v>
      </c>
      <c r="C46" s="317">
        <v>1</v>
      </c>
      <c r="D46" s="238">
        <f t="shared" si="1"/>
        <v>126018</v>
      </c>
      <c r="E46" s="319" t="s">
        <v>996</v>
      </c>
      <c r="F46" s="317" t="s">
        <v>857</v>
      </c>
    </row>
    <row r="47" spans="1:6">
      <c r="A47" s="316">
        <v>126019</v>
      </c>
      <c r="B47" s="317">
        <v>26</v>
      </c>
      <c r="C47" s="317">
        <v>1</v>
      </c>
      <c r="D47" s="238">
        <f t="shared" si="1"/>
        <v>126019</v>
      </c>
      <c r="E47" s="319" t="s">
        <v>997</v>
      </c>
      <c r="F47" s="317" t="s">
        <v>857</v>
      </c>
    </row>
    <row r="48" spans="1:6">
      <c r="A48" s="316">
        <v>126020</v>
      </c>
      <c r="B48" s="317">
        <v>26</v>
      </c>
      <c r="C48" s="317">
        <v>1</v>
      </c>
      <c r="D48" s="238">
        <f t="shared" si="1"/>
        <v>126020</v>
      </c>
      <c r="E48" s="319" t="s">
        <v>998</v>
      </c>
      <c r="F48" s="317" t="s">
        <v>857</v>
      </c>
    </row>
    <row r="49" spans="1:6">
      <c r="A49" s="316">
        <v>126021</v>
      </c>
      <c r="B49" s="317">
        <v>26</v>
      </c>
      <c r="C49" s="317">
        <v>1</v>
      </c>
      <c r="D49" s="238">
        <f t="shared" si="1"/>
        <v>126021</v>
      </c>
      <c r="E49" s="319" t="s">
        <v>999</v>
      </c>
      <c r="F49" s="317" t="s">
        <v>857</v>
      </c>
    </row>
    <row r="50" spans="1:6">
      <c r="A50" s="316">
        <v>126022</v>
      </c>
      <c r="B50" s="317">
        <v>26</v>
      </c>
      <c r="C50" s="317">
        <v>1</v>
      </c>
      <c r="D50" s="238">
        <f t="shared" si="1"/>
        <v>126022</v>
      </c>
      <c r="E50" s="319" t="s">
        <v>1000</v>
      </c>
      <c r="F50" s="317" t="s">
        <v>857</v>
      </c>
    </row>
    <row r="51" spans="1:6">
      <c r="A51" s="316">
        <v>126023</v>
      </c>
      <c r="B51" s="317">
        <v>26</v>
      </c>
      <c r="C51" s="317">
        <v>1</v>
      </c>
      <c r="D51" s="238">
        <f t="shared" si="1"/>
        <v>126023</v>
      </c>
      <c r="E51" s="319" t="s">
        <v>1001</v>
      </c>
      <c r="F51" s="317" t="s">
        <v>857</v>
      </c>
    </row>
    <row r="52" spans="1:6">
      <c r="A52" s="316">
        <v>126024</v>
      </c>
      <c r="B52" s="317">
        <v>26</v>
      </c>
      <c r="C52" s="317">
        <v>1</v>
      </c>
      <c r="D52" s="238">
        <f t="shared" si="1"/>
        <v>126024</v>
      </c>
      <c r="E52" s="319" t="s">
        <v>1002</v>
      </c>
      <c r="F52" s="317" t="s">
        <v>857</v>
      </c>
    </row>
    <row r="53" spans="1:6">
      <c r="A53" s="316">
        <v>126025</v>
      </c>
      <c r="B53" s="317">
        <v>26</v>
      </c>
      <c r="C53" s="317">
        <v>1</v>
      </c>
      <c r="D53" s="238">
        <f t="shared" si="1"/>
        <v>126025</v>
      </c>
      <c r="E53" s="319" t="s">
        <v>1003</v>
      </c>
      <c r="F53" s="317" t="s">
        <v>857</v>
      </c>
    </row>
    <row r="54" spans="1:6">
      <c r="A54" s="316">
        <v>126026</v>
      </c>
      <c r="B54" s="317">
        <v>26</v>
      </c>
      <c r="C54" s="317">
        <v>1</v>
      </c>
      <c r="D54" s="238">
        <f t="shared" si="1"/>
        <v>126026</v>
      </c>
      <c r="E54" s="319" t="s">
        <v>1004</v>
      </c>
      <c r="F54" s="317" t="s">
        <v>857</v>
      </c>
    </row>
    <row r="55" spans="1:6">
      <c r="A55" s="316">
        <v>126027</v>
      </c>
      <c r="B55" s="317">
        <v>26</v>
      </c>
      <c r="C55" s="317">
        <v>1</v>
      </c>
      <c r="D55" s="238">
        <f t="shared" si="1"/>
        <v>126027</v>
      </c>
      <c r="E55" s="319" t="s">
        <v>1005</v>
      </c>
      <c r="F55" s="317" t="s">
        <v>857</v>
      </c>
    </row>
    <row r="56" spans="1:6">
      <c r="A56" s="316">
        <v>126028</v>
      </c>
      <c r="B56" s="317">
        <v>26</v>
      </c>
      <c r="C56" s="317">
        <v>1</v>
      </c>
      <c r="D56" s="238">
        <f t="shared" si="1"/>
        <v>126028</v>
      </c>
      <c r="E56" s="319" t="s">
        <v>1006</v>
      </c>
      <c r="F56" s="317" t="s">
        <v>857</v>
      </c>
    </row>
    <row r="57" spans="1:6">
      <c r="A57" s="282" t="s">
        <v>865</v>
      </c>
      <c r="B57" s="283">
        <v>26</v>
      </c>
      <c r="C57" s="283">
        <v>2</v>
      </c>
      <c r="D57" s="238" t="str">
        <f t="shared" si="1"/>
        <v>126201</v>
      </c>
      <c r="E57" s="285" t="s">
        <v>867</v>
      </c>
      <c r="F57" s="283"/>
    </row>
    <row r="58" spans="1:6">
      <c r="A58" s="282" t="s">
        <v>872</v>
      </c>
      <c r="B58" s="283">
        <v>26</v>
      </c>
      <c r="C58" s="283">
        <v>2</v>
      </c>
      <c r="D58" s="238" t="str">
        <f t="shared" si="1"/>
        <v>126202</v>
      </c>
      <c r="E58" s="285" t="s">
        <v>859</v>
      </c>
      <c r="F58" s="283"/>
    </row>
    <row r="59" spans="1:6">
      <c r="A59" s="282" t="s">
        <v>874</v>
      </c>
      <c r="B59" s="283">
        <v>26</v>
      </c>
      <c r="C59" s="283">
        <v>2</v>
      </c>
      <c r="D59" s="238" t="str">
        <f t="shared" si="1"/>
        <v>126203</v>
      </c>
      <c r="E59" s="285" t="s">
        <v>1216</v>
      </c>
      <c r="F59" s="283"/>
    </row>
    <row r="60" spans="1:6">
      <c r="A60" s="282" t="s">
        <v>877</v>
      </c>
      <c r="B60" s="283">
        <v>26</v>
      </c>
      <c r="C60" s="283">
        <v>2</v>
      </c>
      <c r="D60" s="238" t="str">
        <f t="shared" si="1"/>
        <v>126204</v>
      </c>
      <c r="E60" s="285" t="s">
        <v>861</v>
      </c>
      <c r="F60" s="283"/>
    </row>
    <row r="61" spans="1:6">
      <c r="A61" s="282" t="s">
        <v>880</v>
      </c>
      <c r="B61" s="283">
        <v>26</v>
      </c>
      <c r="C61" s="283">
        <v>2</v>
      </c>
      <c r="D61" s="238" t="str">
        <f t="shared" si="1"/>
        <v>126205</v>
      </c>
      <c r="E61" s="285" t="s">
        <v>862</v>
      </c>
      <c r="F61" s="283"/>
    </row>
    <row r="62" spans="1:6">
      <c r="A62" s="282" t="s">
        <v>883</v>
      </c>
      <c r="B62" s="283">
        <v>26</v>
      </c>
      <c r="C62" s="283">
        <v>2</v>
      </c>
      <c r="D62" s="238" t="str">
        <f t="shared" si="1"/>
        <v>126206</v>
      </c>
      <c r="E62" s="285" t="s">
        <v>863</v>
      </c>
      <c r="F62" s="283"/>
    </row>
    <row r="63" spans="1:6">
      <c r="A63" s="282" t="s">
        <v>886</v>
      </c>
      <c r="B63" s="283">
        <v>26</v>
      </c>
      <c r="C63" s="283">
        <v>2</v>
      </c>
      <c r="D63" s="238" t="str">
        <f t="shared" si="1"/>
        <v>126207</v>
      </c>
      <c r="E63" s="285" t="s">
        <v>864</v>
      </c>
      <c r="F63" s="283"/>
    </row>
    <row r="64" spans="1:6">
      <c r="A64" s="182">
        <v>127001</v>
      </c>
      <c r="B64" s="182">
        <v>27</v>
      </c>
      <c r="C64" s="182">
        <v>0</v>
      </c>
      <c r="D64" s="238">
        <f t="shared" si="1"/>
        <v>127001</v>
      </c>
      <c r="E64" s="172"/>
      <c r="F64" s="182" t="s">
        <v>890</v>
      </c>
    </row>
    <row r="65" spans="1:6">
      <c r="A65" s="182">
        <v>127002</v>
      </c>
      <c r="B65" s="182">
        <v>27</v>
      </c>
      <c r="C65" s="182">
        <v>0</v>
      </c>
      <c r="D65" s="238">
        <f t="shared" si="1"/>
        <v>127002</v>
      </c>
      <c r="E65" s="172"/>
      <c r="F65" s="182" t="s">
        <v>890</v>
      </c>
    </row>
    <row r="66" spans="1:6">
      <c r="A66" s="182">
        <v>127003</v>
      </c>
      <c r="B66" s="182">
        <v>27</v>
      </c>
      <c r="C66" s="182">
        <v>0</v>
      </c>
      <c r="D66" s="238">
        <f t="shared" si="1"/>
        <v>127003</v>
      </c>
      <c r="E66" s="172"/>
      <c r="F66" s="182" t="s">
        <v>890</v>
      </c>
    </row>
    <row r="67" spans="1:6">
      <c r="A67" s="182">
        <v>127004</v>
      </c>
      <c r="B67" s="182">
        <v>27</v>
      </c>
      <c r="C67" s="182">
        <v>0</v>
      </c>
      <c r="D67" s="238">
        <f t="shared" si="1"/>
        <v>127004</v>
      </c>
      <c r="E67" s="172"/>
      <c r="F67" s="182" t="s">
        <v>890</v>
      </c>
    </row>
    <row r="68" spans="1:6">
      <c r="A68" s="182">
        <v>127005</v>
      </c>
      <c r="B68" s="182">
        <v>27</v>
      </c>
      <c r="C68" s="182">
        <v>0</v>
      </c>
      <c r="D68" s="238">
        <f t="shared" si="1"/>
        <v>127005</v>
      </c>
      <c r="E68" s="172"/>
      <c r="F68" s="182" t="s">
        <v>890</v>
      </c>
    </row>
    <row r="69" spans="1:6">
      <c r="A69" s="172" t="s">
        <v>896</v>
      </c>
      <c r="B69" s="182">
        <v>28</v>
      </c>
      <c r="C69" s="182">
        <v>0</v>
      </c>
      <c r="D69" s="238" t="str">
        <f t="shared" si="1"/>
        <v>128001</v>
      </c>
      <c r="E69" s="172" t="s">
        <v>898</v>
      </c>
      <c r="F69" s="182" t="s">
        <v>890</v>
      </c>
    </row>
    <row r="70" spans="1:6">
      <c r="A70" s="239">
        <v>127006</v>
      </c>
      <c r="B70" s="239">
        <v>27</v>
      </c>
      <c r="C70" s="239">
        <v>0</v>
      </c>
      <c r="D70" s="238">
        <f t="shared" ref="D70:D74" si="2">A70</f>
        <v>127006</v>
      </c>
      <c r="E70" s="238"/>
      <c r="F70" s="239" t="s">
        <v>890</v>
      </c>
    </row>
    <row r="71" spans="1:6">
      <c r="A71" s="239">
        <v>127007</v>
      </c>
      <c r="B71" s="239">
        <v>27</v>
      </c>
      <c r="C71" s="239">
        <v>0</v>
      </c>
      <c r="D71" s="238">
        <f t="shared" si="2"/>
        <v>127007</v>
      </c>
      <c r="E71" s="238"/>
      <c r="F71" s="239" t="s">
        <v>890</v>
      </c>
    </row>
    <row r="72" spans="1:6">
      <c r="A72" s="239">
        <v>127008</v>
      </c>
      <c r="B72" s="239">
        <v>27</v>
      </c>
      <c r="C72" s="239">
        <v>0</v>
      </c>
      <c r="D72" s="238">
        <f t="shared" si="2"/>
        <v>127008</v>
      </c>
      <c r="E72" s="238"/>
      <c r="F72" s="239" t="s">
        <v>890</v>
      </c>
    </row>
    <row r="73" spans="1:6">
      <c r="A73" s="239">
        <v>127009</v>
      </c>
      <c r="B73" s="239">
        <v>27</v>
      </c>
      <c r="C73" s="239">
        <v>0</v>
      </c>
      <c r="D73" s="238">
        <f t="shared" si="2"/>
        <v>127009</v>
      </c>
      <c r="E73" s="238"/>
      <c r="F73" s="239" t="s">
        <v>890</v>
      </c>
    </row>
    <row r="74" spans="1:6">
      <c r="A74" s="239">
        <v>127010</v>
      </c>
      <c r="B74" s="239">
        <v>27</v>
      </c>
      <c r="C74" s="239">
        <v>0</v>
      </c>
      <c r="D74" s="238">
        <f t="shared" si="2"/>
        <v>127010</v>
      </c>
      <c r="E74" s="238"/>
      <c r="F74" s="239" t="s">
        <v>890</v>
      </c>
    </row>
  </sheetData>
  <phoneticPr fontId="25" type="noConversion"/>
  <hyperlinks>
    <hyperlink ref="E22" r:id="rId1"/>
    <hyperlink ref="E23:E26" r:id="rId2" display="http://shkr.cdn.9splay.com.tw/Image/show2.png"/>
    <hyperlink ref="E3" r:id="rId3"/>
    <hyperlink ref="E4" r:id="rId4"/>
  </hyperlinks>
  <pageMargins left="0.7" right="0.7" top="0.75" bottom="0.75" header="0.3" footer="0.3"/>
  <pageSetup paperSize="9" orientation="portrait" verticalDpi="0"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50"/>
  <sheetViews>
    <sheetView workbookViewId="0">
      <pane ySplit="1" topLeftCell="A2" activePane="bottomLeft" state="frozen"/>
      <selection pane="bottomLeft" activeCell="B27" sqref="B27"/>
    </sheetView>
  </sheetViews>
  <sheetFormatPr defaultColWidth="9" defaultRowHeight="14.25"/>
  <cols>
    <col min="1" max="1" width="16.875" style="73" customWidth="1"/>
    <col min="2" max="2" width="29.75" style="73" customWidth="1"/>
    <col min="3" max="3" width="9.25" style="73" customWidth="1"/>
    <col min="4" max="4" width="26.125" style="73" customWidth="1"/>
    <col min="5" max="5" width="8.75" customWidth="1"/>
    <col min="6" max="6" width="16.875" style="73" customWidth="1"/>
    <col min="7" max="7" width="29.75" style="73" customWidth="1"/>
    <col min="8" max="8" width="9.25" style="73" customWidth="1"/>
    <col min="9" max="9" width="26.125" style="73" customWidth="1"/>
  </cols>
  <sheetData>
    <row r="1" spans="1:9" ht="42.75">
      <c r="A1" s="58" t="s">
        <v>400</v>
      </c>
      <c r="B1" s="58" t="s">
        <v>401</v>
      </c>
      <c r="C1" s="61" t="s">
        <v>402</v>
      </c>
      <c r="D1" s="58" t="s">
        <v>401</v>
      </c>
      <c r="F1" s="58" t="s">
        <v>400</v>
      </c>
      <c r="G1" s="58" t="s">
        <v>401</v>
      </c>
      <c r="H1" s="61" t="s">
        <v>402</v>
      </c>
      <c r="I1" s="58" t="s">
        <v>401</v>
      </c>
    </row>
    <row r="2" spans="1:9">
      <c r="A2" s="340">
        <v>1</v>
      </c>
      <c r="B2" s="340" t="s">
        <v>385</v>
      </c>
      <c r="C2" s="59">
        <v>1</v>
      </c>
      <c r="D2" s="59" t="s">
        <v>437</v>
      </c>
      <c r="F2" s="340">
        <v>1</v>
      </c>
      <c r="G2" s="340" t="s">
        <v>468</v>
      </c>
      <c r="H2" s="59">
        <v>1</v>
      </c>
      <c r="I2" s="59" t="s">
        <v>469</v>
      </c>
    </row>
    <row r="3" spans="1:9" ht="18" customHeight="1">
      <c r="A3" s="341"/>
      <c r="B3" s="341"/>
      <c r="C3" s="59">
        <v>2</v>
      </c>
      <c r="D3" s="59" t="s">
        <v>398</v>
      </c>
      <c r="E3" s="339" t="s">
        <v>436</v>
      </c>
      <c r="F3" s="341"/>
      <c r="G3" s="341"/>
      <c r="H3" s="59">
        <v>2</v>
      </c>
      <c r="I3" s="59" t="s">
        <v>470</v>
      </c>
    </row>
    <row r="4" spans="1:9">
      <c r="A4" s="60">
        <v>2</v>
      </c>
      <c r="B4" s="60" t="s">
        <v>438</v>
      </c>
      <c r="C4" s="60"/>
      <c r="D4" s="60"/>
      <c r="E4" s="339"/>
      <c r="F4" s="60">
        <v>2</v>
      </c>
      <c r="G4" s="60" t="s">
        <v>471</v>
      </c>
      <c r="H4" s="60"/>
      <c r="I4" s="60"/>
    </row>
    <row r="5" spans="1:9">
      <c r="A5" s="60">
        <v>3</v>
      </c>
      <c r="B5" s="60" t="s">
        <v>439</v>
      </c>
      <c r="C5" s="60"/>
      <c r="D5" s="60"/>
      <c r="E5" s="339"/>
      <c r="F5" s="111">
        <v>3</v>
      </c>
      <c r="G5" s="111" t="s">
        <v>472</v>
      </c>
      <c r="H5" s="111"/>
      <c r="I5" s="111" t="s">
        <v>473</v>
      </c>
    </row>
    <row r="6" spans="1:9">
      <c r="A6" s="59">
        <v>4</v>
      </c>
      <c r="B6" s="59" t="s">
        <v>386</v>
      </c>
      <c r="C6" s="59">
        <v>0</v>
      </c>
      <c r="D6" s="59" t="s">
        <v>279</v>
      </c>
      <c r="E6" s="339"/>
      <c r="F6" s="59">
        <v>4</v>
      </c>
      <c r="G6" s="59" t="s">
        <v>474</v>
      </c>
      <c r="H6" s="59"/>
      <c r="I6" s="59"/>
    </row>
    <row r="7" spans="1:9">
      <c r="A7" s="340">
        <v>5</v>
      </c>
      <c r="B7" s="340" t="s">
        <v>387</v>
      </c>
      <c r="C7" s="59">
        <v>1</v>
      </c>
      <c r="D7" s="59" t="s">
        <v>399</v>
      </c>
      <c r="E7" s="339"/>
      <c r="F7" s="340">
        <v>5</v>
      </c>
      <c r="G7" s="340" t="s">
        <v>475</v>
      </c>
      <c r="H7" s="59">
        <v>1</v>
      </c>
      <c r="I7" s="59" t="s">
        <v>476</v>
      </c>
    </row>
    <row r="8" spans="1:9">
      <c r="A8" s="341"/>
      <c r="B8" s="341"/>
      <c r="C8" s="59">
        <v>2</v>
      </c>
      <c r="D8" s="59" t="s">
        <v>440</v>
      </c>
      <c r="E8" s="339"/>
      <c r="F8" s="341"/>
      <c r="G8" s="341"/>
      <c r="H8" s="59">
        <v>2</v>
      </c>
      <c r="I8" s="59" t="s">
        <v>477</v>
      </c>
    </row>
    <row r="9" spans="1:9">
      <c r="A9" s="60">
        <v>6</v>
      </c>
      <c r="B9" s="60" t="s">
        <v>435</v>
      </c>
      <c r="C9" s="60">
        <v>1</v>
      </c>
      <c r="D9" s="60" t="s">
        <v>434</v>
      </c>
      <c r="E9" s="339"/>
      <c r="F9" s="60">
        <v>6</v>
      </c>
      <c r="G9" s="60" t="s">
        <v>478</v>
      </c>
      <c r="H9" s="60"/>
      <c r="I9" s="60"/>
    </row>
    <row r="10" spans="1:9">
      <c r="A10" s="59">
        <v>7</v>
      </c>
      <c r="B10" s="59" t="s">
        <v>388</v>
      </c>
      <c r="C10" s="59">
        <v>0</v>
      </c>
      <c r="D10" s="59" t="s">
        <v>388</v>
      </c>
      <c r="E10" s="339"/>
      <c r="F10" s="59">
        <v>7</v>
      </c>
      <c r="G10" s="59" t="s">
        <v>479</v>
      </c>
      <c r="H10" s="59"/>
      <c r="I10" s="59"/>
    </row>
    <row r="11" spans="1:9">
      <c r="A11" s="60">
        <v>8</v>
      </c>
      <c r="B11" s="60" t="s">
        <v>441</v>
      </c>
      <c r="C11" s="60"/>
      <c r="D11" s="60"/>
      <c r="E11" s="339"/>
      <c r="F11" s="60">
        <v>8</v>
      </c>
      <c r="G11" s="60" t="s">
        <v>480</v>
      </c>
      <c r="H11" s="60"/>
      <c r="I11" s="60"/>
    </row>
    <row r="12" spans="1:9">
      <c r="A12" s="59">
        <v>9</v>
      </c>
      <c r="B12" s="59" t="s">
        <v>442</v>
      </c>
      <c r="C12" s="21">
        <v>0</v>
      </c>
      <c r="D12" s="21" t="s">
        <v>291</v>
      </c>
      <c r="E12" s="339"/>
      <c r="F12" s="59">
        <v>9</v>
      </c>
      <c r="G12" s="59" t="s">
        <v>481</v>
      </c>
      <c r="H12" s="21"/>
      <c r="I12" s="21"/>
    </row>
    <row r="13" spans="1:9">
      <c r="A13" s="59">
        <v>10</v>
      </c>
      <c r="B13" s="59" t="s">
        <v>389</v>
      </c>
      <c r="C13" s="21">
        <v>0</v>
      </c>
      <c r="D13" s="21" t="s">
        <v>443</v>
      </c>
      <c r="E13" s="339"/>
      <c r="F13" s="59">
        <v>10</v>
      </c>
      <c r="G13" s="59" t="s">
        <v>482</v>
      </c>
      <c r="H13" s="21"/>
      <c r="I13" s="21"/>
    </row>
    <row r="14" spans="1:9">
      <c r="A14" s="59">
        <v>11</v>
      </c>
      <c r="B14" s="59" t="s">
        <v>390</v>
      </c>
      <c r="C14" s="21">
        <v>0</v>
      </c>
      <c r="D14" s="21" t="s">
        <v>150</v>
      </c>
      <c r="E14" s="339"/>
      <c r="F14" s="59">
        <v>11</v>
      </c>
      <c r="G14" s="59" t="s">
        <v>483</v>
      </c>
      <c r="H14" s="21"/>
      <c r="I14" s="21"/>
    </row>
    <row r="15" spans="1:9">
      <c r="A15" s="59">
        <v>12</v>
      </c>
      <c r="B15" s="59" t="s">
        <v>391</v>
      </c>
      <c r="C15" s="25">
        <v>0</v>
      </c>
      <c r="D15" s="21" t="s">
        <v>297</v>
      </c>
      <c r="E15" s="339"/>
      <c r="F15" s="59">
        <v>12</v>
      </c>
      <c r="G15" s="59" t="s">
        <v>484</v>
      </c>
      <c r="H15" s="25"/>
      <c r="I15" s="21"/>
    </row>
    <row r="16" spans="1:9">
      <c r="A16" s="340">
        <v>13</v>
      </c>
      <c r="B16" s="340" t="s">
        <v>444</v>
      </c>
      <c r="C16" s="22">
        <v>1</v>
      </c>
      <c r="D16" s="22" t="s">
        <v>365</v>
      </c>
      <c r="E16" s="339"/>
      <c r="F16" s="340">
        <v>13</v>
      </c>
      <c r="G16" s="340" t="s">
        <v>485</v>
      </c>
      <c r="H16" s="22">
        <v>1</v>
      </c>
      <c r="I16" s="22" t="s">
        <v>486</v>
      </c>
    </row>
    <row r="17" spans="1:9">
      <c r="A17" s="341"/>
      <c r="B17" s="341"/>
      <c r="C17" s="22">
        <v>2</v>
      </c>
      <c r="D17" s="22" t="s">
        <v>445</v>
      </c>
      <c r="E17" s="339"/>
      <c r="F17" s="341"/>
      <c r="G17" s="341"/>
      <c r="H17" s="22">
        <v>2</v>
      </c>
      <c r="I17" s="22" t="s">
        <v>487</v>
      </c>
    </row>
    <row r="18" spans="1:9">
      <c r="A18" s="59">
        <v>14</v>
      </c>
      <c r="B18" s="59" t="s">
        <v>446</v>
      </c>
      <c r="C18" s="21">
        <v>0</v>
      </c>
      <c r="D18" s="21" t="s">
        <v>305</v>
      </c>
      <c r="E18" s="339"/>
      <c r="F18" s="59">
        <v>14</v>
      </c>
      <c r="G18" s="59" t="s">
        <v>488</v>
      </c>
      <c r="H18" s="21"/>
      <c r="I18" s="21"/>
    </row>
    <row r="19" spans="1:9">
      <c r="A19" s="60">
        <v>15</v>
      </c>
      <c r="B19" s="60" t="s">
        <v>306</v>
      </c>
      <c r="C19" s="60"/>
      <c r="D19" s="60"/>
      <c r="E19" s="339"/>
      <c r="F19" s="60">
        <v>15</v>
      </c>
      <c r="G19" s="60" t="s">
        <v>489</v>
      </c>
      <c r="H19" s="60"/>
      <c r="I19" s="60"/>
    </row>
    <row r="20" spans="1:9">
      <c r="A20" s="59">
        <v>16</v>
      </c>
      <c r="B20" s="59" t="s">
        <v>392</v>
      </c>
      <c r="C20" s="22">
        <v>1</v>
      </c>
      <c r="D20" s="22" t="s">
        <v>447</v>
      </c>
      <c r="E20" s="339"/>
      <c r="F20" s="59">
        <v>16</v>
      </c>
      <c r="G20" s="59" t="s">
        <v>490</v>
      </c>
      <c r="H20" s="22"/>
      <c r="I20" s="22"/>
    </row>
    <row r="21" spans="1:9">
      <c r="A21" s="59">
        <v>17</v>
      </c>
      <c r="B21" s="59" t="s">
        <v>393</v>
      </c>
      <c r="C21" s="59">
        <v>1</v>
      </c>
      <c r="D21" s="59" t="s">
        <v>408</v>
      </c>
      <c r="E21" s="339"/>
      <c r="F21" s="59">
        <v>17</v>
      </c>
      <c r="G21" s="59" t="s">
        <v>491</v>
      </c>
      <c r="H21" s="59"/>
      <c r="I21" s="59"/>
    </row>
    <row r="22" spans="1:9">
      <c r="A22" s="71"/>
      <c r="B22" s="71"/>
      <c r="C22" s="59">
        <v>2</v>
      </c>
      <c r="D22" s="59" t="s">
        <v>409</v>
      </c>
      <c r="E22" s="339"/>
      <c r="F22" s="110"/>
      <c r="G22" s="110"/>
      <c r="H22" s="59"/>
      <c r="I22" s="59"/>
    </row>
    <row r="23" spans="1:9">
      <c r="A23" s="340">
        <v>18</v>
      </c>
      <c r="B23" s="340" t="s">
        <v>394</v>
      </c>
      <c r="C23" s="21">
        <v>1</v>
      </c>
      <c r="D23" s="21" t="s">
        <v>403</v>
      </c>
      <c r="E23" s="339"/>
      <c r="F23" s="340">
        <v>18</v>
      </c>
      <c r="G23" s="340" t="s">
        <v>492</v>
      </c>
      <c r="H23" s="21">
        <v>1</v>
      </c>
      <c r="I23" s="21" t="s">
        <v>493</v>
      </c>
    </row>
    <row r="24" spans="1:9">
      <c r="A24" s="342"/>
      <c r="B24" s="342"/>
      <c r="C24" s="21">
        <v>2</v>
      </c>
      <c r="D24" s="21" t="s">
        <v>448</v>
      </c>
      <c r="E24" s="339"/>
      <c r="F24" s="342"/>
      <c r="G24" s="342"/>
      <c r="H24" s="21">
        <v>2</v>
      </c>
      <c r="I24" s="21" t="s">
        <v>494</v>
      </c>
    </row>
    <row r="25" spans="1:9">
      <c r="A25" s="342"/>
      <c r="B25" s="342"/>
      <c r="C25" s="21">
        <v>3</v>
      </c>
      <c r="D25" s="21" t="s">
        <v>404</v>
      </c>
      <c r="E25" s="339"/>
      <c r="F25" s="342"/>
      <c r="G25" s="342"/>
      <c r="H25" s="21">
        <v>3</v>
      </c>
      <c r="I25" s="21" t="s">
        <v>495</v>
      </c>
    </row>
    <row r="26" spans="1:9">
      <c r="A26" s="341"/>
      <c r="B26" s="341"/>
      <c r="C26" s="21">
        <v>4</v>
      </c>
      <c r="D26" s="21" t="s">
        <v>340</v>
      </c>
      <c r="E26" s="339"/>
      <c r="F26" s="341"/>
      <c r="G26" s="341"/>
      <c r="H26" s="21">
        <v>4</v>
      </c>
      <c r="I26" s="21" t="s">
        <v>496</v>
      </c>
    </row>
    <row r="27" spans="1:9">
      <c r="A27" s="60">
        <v>19</v>
      </c>
      <c r="B27" s="60" t="s">
        <v>395</v>
      </c>
      <c r="C27" s="60">
        <v>1</v>
      </c>
      <c r="D27" s="60"/>
      <c r="E27" s="339"/>
      <c r="F27" s="60">
        <v>19</v>
      </c>
      <c r="G27" s="60" t="s">
        <v>497</v>
      </c>
      <c r="H27" s="60"/>
      <c r="I27" s="60"/>
    </row>
    <row r="28" spans="1:9">
      <c r="A28" s="60"/>
      <c r="B28" s="60" t="s">
        <v>519</v>
      </c>
      <c r="C28" s="60">
        <v>2</v>
      </c>
      <c r="D28" s="60" t="s">
        <v>521</v>
      </c>
      <c r="E28" s="339"/>
      <c r="F28" s="60"/>
      <c r="G28" s="60"/>
      <c r="H28" s="60"/>
      <c r="I28" s="60"/>
    </row>
    <row r="29" spans="1:9">
      <c r="A29" s="60"/>
      <c r="B29" s="60" t="s">
        <v>520</v>
      </c>
      <c r="C29" s="60">
        <v>2</v>
      </c>
      <c r="D29" s="60" t="s">
        <v>521</v>
      </c>
      <c r="E29" s="339"/>
      <c r="F29" s="60"/>
      <c r="G29" s="60"/>
      <c r="H29" s="60"/>
      <c r="I29" s="60"/>
    </row>
    <row r="30" spans="1:9">
      <c r="A30" s="59">
        <v>20</v>
      </c>
      <c r="B30" s="59" t="s">
        <v>396</v>
      </c>
      <c r="C30" s="21">
        <v>0</v>
      </c>
      <c r="D30" s="21" t="s">
        <v>405</v>
      </c>
      <c r="E30" s="339"/>
      <c r="F30" s="59">
        <v>20</v>
      </c>
      <c r="G30" s="59" t="s">
        <v>498</v>
      </c>
      <c r="H30" s="21"/>
      <c r="I30" s="21"/>
    </row>
    <row r="31" spans="1:9">
      <c r="A31" s="340">
        <v>21</v>
      </c>
      <c r="B31" s="340" t="s">
        <v>449</v>
      </c>
      <c r="C31" s="22">
        <v>1</v>
      </c>
      <c r="D31" s="33" t="s">
        <v>345</v>
      </c>
      <c r="E31" s="339"/>
      <c r="F31" s="340">
        <v>21</v>
      </c>
      <c r="G31" s="340" t="s">
        <v>499</v>
      </c>
      <c r="H31" s="22"/>
      <c r="I31" s="33"/>
    </row>
    <row r="32" spans="1:9">
      <c r="A32" s="341"/>
      <c r="B32" s="341"/>
      <c r="C32" s="21">
        <v>2</v>
      </c>
      <c r="D32" s="21" t="s">
        <v>406</v>
      </c>
      <c r="E32" s="339"/>
      <c r="F32" s="341"/>
      <c r="G32" s="341"/>
      <c r="H32" s="21"/>
      <c r="I32" s="21"/>
    </row>
    <row r="33" spans="1:9">
      <c r="A33" s="60">
        <v>22</v>
      </c>
      <c r="B33" s="60" t="s">
        <v>397</v>
      </c>
      <c r="C33" s="60"/>
      <c r="D33" s="60"/>
      <c r="E33" s="339"/>
      <c r="F33" s="60">
        <v>22</v>
      </c>
      <c r="G33" s="60" t="s">
        <v>500</v>
      </c>
      <c r="H33" s="60"/>
      <c r="I33" s="60"/>
    </row>
    <row r="34" spans="1:9">
      <c r="A34" s="59">
        <v>23</v>
      </c>
      <c r="B34" s="59" t="s">
        <v>450</v>
      </c>
      <c r="C34" s="22">
        <v>1</v>
      </c>
      <c r="D34" s="22" t="s">
        <v>350</v>
      </c>
      <c r="E34" s="339"/>
      <c r="F34" s="59">
        <v>23</v>
      </c>
      <c r="G34" s="59" t="s">
        <v>501</v>
      </c>
      <c r="H34" s="22"/>
      <c r="I34" s="22"/>
    </row>
    <row r="35" spans="1:9">
      <c r="A35" s="340">
        <v>24</v>
      </c>
      <c r="B35" s="340" t="s">
        <v>407</v>
      </c>
      <c r="C35" s="22">
        <v>1</v>
      </c>
      <c r="D35" s="33" t="s">
        <v>360</v>
      </c>
      <c r="E35" s="339"/>
      <c r="F35" s="340">
        <v>24</v>
      </c>
      <c r="G35" s="340" t="s">
        <v>502</v>
      </c>
      <c r="H35" s="22"/>
      <c r="I35" s="33"/>
    </row>
    <row r="36" spans="1:9">
      <c r="A36" s="341"/>
      <c r="B36" s="341"/>
      <c r="C36" s="22">
        <v>2</v>
      </c>
      <c r="D36" s="33" t="s">
        <v>411</v>
      </c>
      <c r="E36" s="339"/>
      <c r="F36" s="341"/>
      <c r="G36" s="341"/>
      <c r="H36" s="22"/>
      <c r="I36" s="33"/>
    </row>
    <row r="37" spans="1:9">
      <c r="A37" s="59">
        <v>25</v>
      </c>
      <c r="B37" s="59" t="s">
        <v>428</v>
      </c>
      <c r="C37" s="59"/>
      <c r="D37" s="59"/>
      <c r="F37" s="59">
        <v>25</v>
      </c>
      <c r="G37" s="59" t="s">
        <v>503</v>
      </c>
      <c r="H37" s="59"/>
      <c r="I37" s="59"/>
    </row>
    <row r="38" spans="1:9">
      <c r="A38" s="59">
        <v>26</v>
      </c>
      <c r="B38" s="59" t="s">
        <v>429</v>
      </c>
      <c r="C38" s="59"/>
      <c r="D38" s="59"/>
      <c r="F38" s="59">
        <v>26</v>
      </c>
      <c r="G38" s="59" t="s">
        <v>504</v>
      </c>
      <c r="H38" s="59"/>
      <c r="I38" s="59"/>
    </row>
    <row r="39" spans="1:9">
      <c r="A39" s="59">
        <v>27</v>
      </c>
      <c r="B39" s="59" t="s">
        <v>430</v>
      </c>
      <c r="C39" s="59"/>
      <c r="D39" s="59"/>
      <c r="F39" s="59">
        <v>27</v>
      </c>
      <c r="G39" s="59" t="s">
        <v>505</v>
      </c>
      <c r="H39" s="59"/>
      <c r="I39" s="59"/>
    </row>
    <row r="40" spans="1:9">
      <c r="A40" s="59">
        <v>28</v>
      </c>
      <c r="B40" s="59" t="s">
        <v>430</v>
      </c>
      <c r="C40" s="59"/>
      <c r="D40" s="59"/>
      <c r="F40" s="59">
        <v>28</v>
      </c>
      <c r="G40" s="59" t="s">
        <v>506</v>
      </c>
      <c r="H40" s="59"/>
      <c r="I40" s="59"/>
    </row>
    <row r="41" spans="1:9">
      <c r="A41" s="59">
        <v>29</v>
      </c>
      <c r="B41" s="59" t="s">
        <v>427</v>
      </c>
      <c r="C41" s="59"/>
      <c r="D41" s="59"/>
      <c r="F41" s="59">
        <v>29</v>
      </c>
      <c r="G41" s="59" t="s">
        <v>507</v>
      </c>
      <c r="H41" s="59"/>
      <c r="I41" s="59"/>
    </row>
    <row r="42" spans="1:9">
      <c r="A42" s="59">
        <v>30</v>
      </c>
      <c r="B42" s="59" t="s">
        <v>431</v>
      </c>
      <c r="C42" s="59"/>
      <c r="D42" s="59"/>
      <c r="F42" s="59">
        <v>30</v>
      </c>
      <c r="G42" s="59" t="s">
        <v>508</v>
      </c>
      <c r="H42" s="59"/>
      <c r="I42" s="59"/>
    </row>
    <row r="43" spans="1:9">
      <c r="A43" s="59">
        <v>31</v>
      </c>
      <c r="B43" s="59" t="s">
        <v>432</v>
      </c>
      <c r="C43" s="59"/>
      <c r="D43" s="59"/>
      <c r="F43" s="59">
        <v>31</v>
      </c>
      <c r="G43" s="59" t="s">
        <v>509</v>
      </c>
      <c r="H43" s="59"/>
      <c r="I43" s="59"/>
    </row>
    <row r="44" spans="1:9">
      <c r="A44" s="59">
        <v>32</v>
      </c>
      <c r="B44" s="59" t="s">
        <v>432</v>
      </c>
      <c r="C44" s="59"/>
      <c r="D44" s="59"/>
      <c r="F44" s="59">
        <v>32</v>
      </c>
      <c r="G44" s="59" t="s">
        <v>510</v>
      </c>
      <c r="H44" s="59"/>
      <c r="I44" s="59"/>
    </row>
    <row r="45" spans="1:9">
      <c r="A45" s="73">
        <v>33</v>
      </c>
      <c r="B45" s="73" t="s">
        <v>451</v>
      </c>
      <c r="C45" s="73">
        <v>1</v>
      </c>
      <c r="D45" s="73" t="s">
        <v>452</v>
      </c>
      <c r="F45" s="73">
        <v>33</v>
      </c>
      <c r="G45" s="73" t="s">
        <v>511</v>
      </c>
    </row>
    <row r="46" spans="1:9">
      <c r="A46" s="73">
        <v>34</v>
      </c>
      <c r="B46" s="73" t="s">
        <v>453</v>
      </c>
      <c r="C46" s="73">
        <v>1</v>
      </c>
      <c r="D46" s="73" t="s">
        <v>454</v>
      </c>
      <c r="F46" s="73">
        <v>34</v>
      </c>
      <c r="G46" s="73" t="s">
        <v>512</v>
      </c>
    </row>
    <row r="47" spans="1:9">
      <c r="A47" s="73">
        <v>35</v>
      </c>
      <c r="B47" s="73" t="s">
        <v>461</v>
      </c>
      <c r="F47" s="73">
        <v>35</v>
      </c>
      <c r="G47" s="73" t="s">
        <v>513</v>
      </c>
    </row>
    <row r="48" spans="1:9">
      <c r="A48" s="73">
        <v>40</v>
      </c>
      <c r="B48" s="73" t="s">
        <v>550</v>
      </c>
      <c r="D48" s="73" t="s">
        <v>555</v>
      </c>
      <c r="F48" s="73">
        <v>36</v>
      </c>
      <c r="G48" s="73" t="s">
        <v>514</v>
      </c>
    </row>
    <row r="49" spans="1:4">
      <c r="A49" s="73">
        <v>41</v>
      </c>
      <c r="B49" s="73" t="s">
        <v>551</v>
      </c>
      <c r="C49" s="73">
        <v>1</v>
      </c>
      <c r="D49" s="73" t="s">
        <v>553</v>
      </c>
    </row>
    <row r="50" spans="1:4">
      <c r="B50" s="73" t="s">
        <v>552</v>
      </c>
      <c r="C50" s="73">
        <v>2</v>
      </c>
      <c r="D50" s="73" t="s">
        <v>554</v>
      </c>
    </row>
  </sheetData>
  <mergeCells count="25">
    <mergeCell ref="F23:F26"/>
    <mergeCell ref="G23:G26"/>
    <mergeCell ref="F31:F32"/>
    <mergeCell ref="G31:G32"/>
    <mergeCell ref="F35:F36"/>
    <mergeCell ref="G35:G36"/>
    <mergeCell ref="F2:F3"/>
    <mergeCell ref="G2:G3"/>
    <mergeCell ref="F7:F8"/>
    <mergeCell ref="G7:G8"/>
    <mergeCell ref="F16:F17"/>
    <mergeCell ref="G16:G17"/>
    <mergeCell ref="E3:E36"/>
    <mergeCell ref="A2:A3"/>
    <mergeCell ref="B2:B3"/>
    <mergeCell ref="A7:A8"/>
    <mergeCell ref="B7:B8"/>
    <mergeCell ref="A16:A17"/>
    <mergeCell ref="B16:B17"/>
    <mergeCell ref="A35:A36"/>
    <mergeCell ref="B35:B36"/>
    <mergeCell ref="A23:A26"/>
    <mergeCell ref="B23:B26"/>
    <mergeCell ref="A31:A32"/>
    <mergeCell ref="B31:B32"/>
  </mergeCells>
  <phoneticPr fontId="25" type="noConversion"/>
  <pageMargins left="0.69930555555555596" right="0.69930555555555596" top="0.75" bottom="0.75" header="0.3" footer="0.3"/>
  <pageSetup paperSize="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I89"/>
  <sheetViews>
    <sheetView workbookViewId="0">
      <selection activeCell="M94" sqref="M94"/>
    </sheetView>
  </sheetViews>
  <sheetFormatPr defaultRowHeight="13.5"/>
  <cols>
    <col min="4" max="4" width="32.5" customWidth="1"/>
    <col min="6" max="6" width="20" customWidth="1"/>
  </cols>
  <sheetData>
    <row r="1" spans="1:35" s="45" customFormat="1" ht="32.25" customHeight="1">
      <c r="A1" s="5" t="s">
        <v>0</v>
      </c>
      <c r="B1" s="5" t="s">
        <v>1</v>
      </c>
      <c r="C1" s="5" t="s">
        <v>2</v>
      </c>
      <c r="D1" s="5" t="s">
        <v>3</v>
      </c>
      <c r="E1" s="5" t="s">
        <v>4</v>
      </c>
      <c r="F1" s="5" t="s">
        <v>5</v>
      </c>
      <c r="G1" s="5" t="s">
        <v>6</v>
      </c>
      <c r="H1" s="6" t="s">
        <v>7</v>
      </c>
      <c r="I1" s="6" t="s">
        <v>8</v>
      </c>
      <c r="J1" s="6" t="s">
        <v>9</v>
      </c>
      <c r="K1" s="6"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7" t="s">
        <v>29</v>
      </c>
      <c r="AE1" s="7" t="s">
        <v>260</v>
      </c>
      <c r="AF1" s="7" t="s">
        <v>194</v>
      </c>
      <c r="AG1" s="5" t="s">
        <v>261</v>
      </c>
      <c r="AH1" s="7" t="s">
        <v>262</v>
      </c>
      <c r="AI1" s="44" t="s">
        <v>263</v>
      </c>
    </row>
    <row r="2" spans="1:35" s="45" customFormat="1" ht="20.100000000000001" customHeight="1">
      <c r="A2" s="8" t="s">
        <v>30</v>
      </c>
      <c r="B2" s="8" t="s">
        <v>31</v>
      </c>
      <c r="C2" s="8" t="s">
        <v>32</v>
      </c>
      <c r="D2" s="8" t="s">
        <v>33</v>
      </c>
      <c r="E2" s="8" t="s">
        <v>34</v>
      </c>
      <c r="F2" s="8" t="s">
        <v>35</v>
      </c>
      <c r="G2" s="8" t="s">
        <v>36</v>
      </c>
      <c r="H2" s="9" t="s">
        <v>37</v>
      </c>
      <c r="I2" s="9" t="s">
        <v>38</v>
      </c>
      <c r="J2" s="9" t="s">
        <v>39</v>
      </c>
      <c r="K2" s="9" t="s">
        <v>40</v>
      </c>
      <c r="L2" s="8" t="s">
        <v>41</v>
      </c>
      <c r="M2" s="8" t="s">
        <v>42</v>
      </c>
      <c r="N2" s="8" t="s">
        <v>43</v>
      </c>
      <c r="O2" s="8" t="s">
        <v>44</v>
      </c>
      <c r="P2" s="8" t="s">
        <v>45</v>
      </c>
      <c r="Q2" s="8" t="s">
        <v>46</v>
      </c>
      <c r="R2" s="8" t="s">
        <v>47</v>
      </c>
      <c r="S2" s="8" t="s">
        <v>48</v>
      </c>
      <c r="T2" s="8" t="s">
        <v>49</v>
      </c>
      <c r="U2" s="8" t="s">
        <v>50</v>
      </c>
      <c r="V2" s="8" t="s">
        <v>51</v>
      </c>
      <c r="W2" s="8" t="s">
        <v>52</v>
      </c>
      <c r="X2" s="8" t="s">
        <v>53</v>
      </c>
      <c r="Y2" s="8" t="s">
        <v>54</v>
      </c>
      <c r="Z2" s="8" t="s">
        <v>55</v>
      </c>
      <c r="AA2" s="8" t="s">
        <v>56</v>
      </c>
      <c r="AB2" s="8" t="s">
        <v>57</v>
      </c>
      <c r="AC2" s="8" t="s">
        <v>58</v>
      </c>
      <c r="AD2" s="10" t="s">
        <v>59</v>
      </c>
      <c r="AE2" s="10" t="s">
        <v>264</v>
      </c>
      <c r="AF2" s="10" t="s">
        <v>195</v>
      </c>
      <c r="AG2" s="8" t="s">
        <v>265</v>
      </c>
      <c r="AH2" s="10" t="s">
        <v>266</v>
      </c>
      <c r="AI2" s="46" t="s">
        <v>267</v>
      </c>
    </row>
    <row r="3" spans="1:35" s="47" customFormat="1" ht="20.100000000000001" customHeight="1">
      <c r="A3" s="40" t="s">
        <v>268</v>
      </c>
      <c r="B3" s="41">
        <v>1</v>
      </c>
      <c r="C3" s="41">
        <v>1</v>
      </c>
      <c r="D3" s="55" t="s">
        <v>269</v>
      </c>
      <c r="E3" s="55">
        <v>1</v>
      </c>
      <c r="F3" s="40" t="s">
        <v>270</v>
      </c>
      <c r="G3" s="41" t="s">
        <v>60</v>
      </c>
      <c r="H3" s="40" t="s">
        <v>271</v>
      </c>
      <c r="I3" s="40" t="s">
        <v>272</v>
      </c>
      <c r="J3" s="40" t="s">
        <v>61</v>
      </c>
      <c r="K3" s="40" t="s">
        <v>62</v>
      </c>
      <c r="L3" s="41" t="s">
        <v>63</v>
      </c>
      <c r="M3" s="41" t="s">
        <v>64</v>
      </c>
      <c r="N3" s="40" t="s">
        <v>273</v>
      </c>
      <c r="O3" s="41">
        <v>0</v>
      </c>
      <c r="P3" s="41">
        <v>0</v>
      </c>
      <c r="Q3" s="41"/>
      <c r="R3" s="41"/>
      <c r="S3" s="41"/>
      <c r="T3" s="41"/>
      <c r="U3" s="41"/>
      <c r="V3" s="55">
        <v>1</v>
      </c>
      <c r="W3" s="41"/>
      <c r="X3" s="41"/>
      <c r="Y3" s="41"/>
      <c r="Z3" s="41"/>
      <c r="AA3" s="41" t="s">
        <v>65</v>
      </c>
      <c r="AB3" s="41"/>
      <c r="AC3" s="41"/>
      <c r="AD3" s="41"/>
      <c r="AE3" s="41"/>
      <c r="AF3" s="56">
        <v>3020062</v>
      </c>
      <c r="AG3" s="41"/>
      <c r="AH3" s="42"/>
      <c r="AI3" s="40"/>
    </row>
    <row r="4" spans="1:35" s="47" customFormat="1" ht="20.100000000000001" customHeight="1">
      <c r="A4" s="40" t="s">
        <v>66</v>
      </c>
      <c r="B4" s="41">
        <v>1</v>
      </c>
      <c r="C4" s="41">
        <v>1</v>
      </c>
      <c r="D4" s="55" t="s">
        <v>269</v>
      </c>
      <c r="E4" s="55">
        <v>300</v>
      </c>
      <c r="F4" s="40" t="s">
        <v>274</v>
      </c>
      <c r="G4" s="41" t="s">
        <v>60</v>
      </c>
      <c r="H4" s="40" t="s">
        <v>241</v>
      </c>
      <c r="I4" s="40" t="s">
        <v>248</v>
      </c>
      <c r="J4" s="40" t="s">
        <v>61</v>
      </c>
      <c r="K4" s="40" t="s">
        <v>62</v>
      </c>
      <c r="L4" s="41" t="s">
        <v>63</v>
      </c>
      <c r="M4" s="41" t="s">
        <v>64</v>
      </c>
      <c r="N4" s="40" t="s">
        <v>273</v>
      </c>
      <c r="O4" s="41">
        <v>0</v>
      </c>
      <c r="P4" s="41">
        <v>0</v>
      </c>
      <c r="Q4" s="41"/>
      <c r="R4" s="41"/>
      <c r="S4" s="41"/>
      <c r="T4" s="41"/>
      <c r="U4" s="41"/>
      <c r="V4" s="55">
        <v>300</v>
      </c>
      <c r="W4" s="41"/>
      <c r="X4" s="41"/>
      <c r="Y4" s="41"/>
      <c r="Z4" s="41"/>
      <c r="AA4" s="41" t="s">
        <v>65</v>
      </c>
      <c r="AB4" s="41"/>
      <c r="AC4" s="41"/>
      <c r="AD4" s="41"/>
      <c r="AE4" s="41"/>
      <c r="AF4" s="56">
        <v>3020063</v>
      </c>
      <c r="AG4" s="41"/>
      <c r="AH4" s="42"/>
      <c r="AI4" s="40"/>
    </row>
    <row r="5" spans="1:35" s="47" customFormat="1" ht="20.100000000000001" customHeight="1">
      <c r="A5" s="40" t="s">
        <v>67</v>
      </c>
      <c r="B5" s="41">
        <v>1</v>
      </c>
      <c r="C5" s="41">
        <v>1</v>
      </c>
      <c r="D5" s="55" t="s">
        <v>269</v>
      </c>
      <c r="E5" s="55">
        <v>880</v>
      </c>
      <c r="F5" s="40" t="s">
        <v>275</v>
      </c>
      <c r="G5" s="41" t="s">
        <v>60</v>
      </c>
      <c r="H5" s="40" t="s">
        <v>242</v>
      </c>
      <c r="I5" s="40" t="s">
        <v>249</v>
      </c>
      <c r="J5" s="40" t="s">
        <v>61</v>
      </c>
      <c r="K5" s="40" t="s">
        <v>62</v>
      </c>
      <c r="L5" s="41" t="s">
        <v>63</v>
      </c>
      <c r="M5" s="41" t="s">
        <v>64</v>
      </c>
      <c r="N5" s="40" t="s">
        <v>273</v>
      </c>
      <c r="O5" s="41">
        <v>0</v>
      </c>
      <c r="P5" s="41">
        <v>0</v>
      </c>
      <c r="Q5" s="41"/>
      <c r="R5" s="41"/>
      <c r="S5" s="41"/>
      <c r="T5" s="41"/>
      <c r="U5" s="41"/>
      <c r="V5" s="55">
        <v>880</v>
      </c>
      <c r="W5" s="41"/>
      <c r="X5" s="41"/>
      <c r="Y5" s="41"/>
      <c r="Z5" s="41"/>
      <c r="AA5" s="41" t="s">
        <v>65</v>
      </c>
      <c r="AB5" s="41"/>
      <c r="AC5" s="41"/>
      <c r="AD5" s="41"/>
      <c r="AE5" s="41"/>
      <c r="AF5" s="56">
        <v>3020064</v>
      </c>
      <c r="AG5" s="41"/>
      <c r="AH5" s="42"/>
      <c r="AI5" s="40"/>
    </row>
    <row r="6" spans="1:35" s="47" customFormat="1" ht="20.100000000000001" customHeight="1">
      <c r="A6" s="40" t="s">
        <v>68</v>
      </c>
      <c r="B6" s="41">
        <v>1</v>
      </c>
      <c r="C6" s="41">
        <v>1</v>
      </c>
      <c r="D6" s="55" t="s">
        <v>269</v>
      </c>
      <c r="E6" s="55">
        <v>1680</v>
      </c>
      <c r="F6" s="40" t="s">
        <v>231</v>
      </c>
      <c r="G6" s="41" t="s">
        <v>60</v>
      </c>
      <c r="H6" s="40" t="s">
        <v>243</v>
      </c>
      <c r="I6" s="40" t="s">
        <v>250</v>
      </c>
      <c r="J6" s="40" t="s">
        <v>61</v>
      </c>
      <c r="K6" s="40" t="s">
        <v>62</v>
      </c>
      <c r="L6" s="41" t="s">
        <v>63</v>
      </c>
      <c r="M6" s="41" t="s">
        <v>64</v>
      </c>
      <c r="N6" s="40" t="s">
        <v>273</v>
      </c>
      <c r="O6" s="41">
        <v>0</v>
      </c>
      <c r="P6" s="41">
        <v>0</v>
      </c>
      <c r="Q6" s="41"/>
      <c r="R6" s="41"/>
      <c r="S6" s="41"/>
      <c r="T6" s="41"/>
      <c r="U6" s="41"/>
      <c r="V6" s="55">
        <v>1680</v>
      </c>
      <c r="W6" s="41"/>
      <c r="X6" s="41"/>
      <c r="Y6" s="41"/>
      <c r="Z6" s="41"/>
      <c r="AA6" s="41" t="s">
        <v>65</v>
      </c>
      <c r="AB6" s="41"/>
      <c r="AC6" s="41"/>
      <c r="AD6" s="41"/>
      <c r="AE6" s="41"/>
      <c r="AF6" s="56">
        <v>3020065</v>
      </c>
      <c r="AG6" s="41"/>
      <c r="AH6" s="42"/>
      <c r="AI6" s="40"/>
    </row>
    <row r="7" spans="1:35" s="47" customFormat="1" ht="20.100000000000001" customHeight="1">
      <c r="A7" s="40" t="s">
        <v>69</v>
      </c>
      <c r="B7" s="41">
        <v>1</v>
      </c>
      <c r="C7" s="41">
        <v>1</v>
      </c>
      <c r="D7" s="55" t="s">
        <v>269</v>
      </c>
      <c r="E7" s="55">
        <v>6880</v>
      </c>
      <c r="F7" s="40" t="s">
        <v>232</v>
      </c>
      <c r="G7" s="41" t="s">
        <v>60</v>
      </c>
      <c r="H7" s="40" t="s">
        <v>244</v>
      </c>
      <c r="I7" s="40" t="s">
        <v>251</v>
      </c>
      <c r="J7" s="40" t="s">
        <v>61</v>
      </c>
      <c r="K7" s="40" t="s">
        <v>62</v>
      </c>
      <c r="L7" s="41" t="s">
        <v>63</v>
      </c>
      <c r="M7" s="41" t="s">
        <v>64</v>
      </c>
      <c r="N7" s="40" t="s">
        <v>273</v>
      </c>
      <c r="O7" s="41">
        <v>0</v>
      </c>
      <c r="P7" s="41">
        <v>0</v>
      </c>
      <c r="Q7" s="41"/>
      <c r="R7" s="41"/>
      <c r="S7" s="41"/>
      <c r="T7" s="41"/>
      <c r="U7" s="41"/>
      <c r="V7" s="55">
        <v>6880</v>
      </c>
      <c r="W7" s="41"/>
      <c r="X7" s="41"/>
      <c r="Y7" s="41"/>
      <c r="Z7" s="41"/>
      <c r="AA7" s="41" t="s">
        <v>65</v>
      </c>
      <c r="AB7" s="41"/>
      <c r="AC7" s="41"/>
      <c r="AD7" s="41"/>
      <c r="AE7" s="41"/>
      <c r="AF7" s="56">
        <v>3020066</v>
      </c>
      <c r="AG7" s="41"/>
      <c r="AH7" s="42"/>
      <c r="AI7" s="40"/>
    </row>
    <row r="8" spans="1:35" s="47" customFormat="1" ht="20.100000000000001" customHeight="1">
      <c r="A8" s="40" t="s">
        <v>223</v>
      </c>
      <c r="B8" s="41">
        <v>1</v>
      </c>
      <c r="C8" s="41">
        <v>1</v>
      </c>
      <c r="D8" s="55" t="s">
        <v>269</v>
      </c>
      <c r="E8" s="55">
        <v>12800</v>
      </c>
      <c r="F8" s="40" t="s">
        <v>233</v>
      </c>
      <c r="G8" s="41" t="s">
        <v>60</v>
      </c>
      <c r="H8" s="40" t="s">
        <v>245</v>
      </c>
      <c r="I8" s="40" t="s">
        <v>252</v>
      </c>
      <c r="J8" s="40" t="s">
        <v>61</v>
      </c>
      <c r="K8" s="40" t="s">
        <v>62</v>
      </c>
      <c r="L8" s="41" t="s">
        <v>63</v>
      </c>
      <c r="M8" s="41" t="s">
        <v>64</v>
      </c>
      <c r="N8" s="40" t="s">
        <v>273</v>
      </c>
      <c r="O8" s="41">
        <v>0</v>
      </c>
      <c r="P8" s="41">
        <v>0</v>
      </c>
      <c r="Q8" s="41"/>
      <c r="R8" s="41"/>
      <c r="S8" s="41"/>
      <c r="T8" s="41"/>
      <c r="U8" s="41"/>
      <c r="V8" s="55">
        <v>12800</v>
      </c>
      <c r="W8" s="41"/>
      <c r="X8" s="41"/>
      <c r="Y8" s="41"/>
      <c r="Z8" s="41"/>
      <c r="AA8" s="41" t="s">
        <v>65</v>
      </c>
      <c r="AB8" s="41"/>
      <c r="AC8" s="41"/>
      <c r="AD8" s="41"/>
      <c r="AE8" s="41"/>
      <c r="AF8" s="56">
        <v>3020067</v>
      </c>
      <c r="AG8" s="41"/>
      <c r="AH8" s="42"/>
      <c r="AI8" s="40"/>
    </row>
    <row r="9" spans="1:35" s="47" customFormat="1" ht="20.100000000000001" customHeight="1">
      <c r="A9" s="40" t="s">
        <v>224</v>
      </c>
      <c r="B9" s="41">
        <v>1</v>
      </c>
      <c r="C9" s="41">
        <v>1</v>
      </c>
      <c r="D9" s="55" t="s">
        <v>269</v>
      </c>
      <c r="E9" s="55">
        <v>18800</v>
      </c>
      <c r="F9" s="40" t="s">
        <v>234</v>
      </c>
      <c r="G9" s="41" t="s">
        <v>60</v>
      </c>
      <c r="H9" s="40" t="s">
        <v>246</v>
      </c>
      <c r="I9" s="40" t="s">
        <v>253</v>
      </c>
      <c r="J9" s="40" t="s">
        <v>61</v>
      </c>
      <c r="K9" s="40" t="s">
        <v>62</v>
      </c>
      <c r="L9" s="41" t="s">
        <v>63</v>
      </c>
      <c r="M9" s="41" t="s">
        <v>64</v>
      </c>
      <c r="N9" s="40" t="s">
        <v>273</v>
      </c>
      <c r="O9" s="41">
        <v>0</v>
      </c>
      <c r="P9" s="41">
        <v>0</v>
      </c>
      <c r="Q9" s="41"/>
      <c r="R9" s="41"/>
      <c r="S9" s="41"/>
      <c r="T9" s="41"/>
      <c r="U9" s="41"/>
      <c r="V9" s="55">
        <v>18800</v>
      </c>
      <c r="W9" s="41"/>
      <c r="X9" s="41"/>
      <c r="Y9" s="41"/>
      <c r="Z9" s="41"/>
      <c r="AA9" s="41" t="s">
        <v>65</v>
      </c>
      <c r="AB9" s="41"/>
      <c r="AC9" s="41"/>
      <c r="AD9" s="41"/>
      <c r="AE9" s="41"/>
      <c r="AF9" s="56">
        <v>3020068</v>
      </c>
      <c r="AG9" s="41"/>
      <c r="AH9" s="42"/>
      <c r="AI9" s="40"/>
    </row>
    <row r="10" spans="1:35" s="47" customFormat="1" ht="20.100000000000001" customHeight="1">
      <c r="A10" s="40" t="s">
        <v>225</v>
      </c>
      <c r="B10" s="41">
        <v>1</v>
      </c>
      <c r="C10" s="41">
        <v>2</v>
      </c>
      <c r="D10" s="55" t="s">
        <v>276</v>
      </c>
      <c r="E10" s="55">
        <v>450</v>
      </c>
      <c r="F10" s="40" t="s">
        <v>235</v>
      </c>
      <c r="G10" s="41" t="s">
        <v>60</v>
      </c>
      <c r="H10" s="40" t="s">
        <v>247</v>
      </c>
      <c r="I10" s="40" t="s">
        <v>254</v>
      </c>
      <c r="J10" s="40" t="s">
        <v>61</v>
      </c>
      <c r="K10" s="40" t="s">
        <v>62</v>
      </c>
      <c r="L10" s="41" t="s">
        <v>63</v>
      </c>
      <c r="M10" s="41" t="s">
        <v>64</v>
      </c>
      <c r="N10" s="40" t="s">
        <v>273</v>
      </c>
      <c r="O10" s="41">
        <v>0</v>
      </c>
      <c r="P10" s="41">
        <v>0</v>
      </c>
      <c r="Q10" s="41"/>
      <c r="R10" s="41"/>
      <c r="S10" s="41"/>
      <c r="T10" s="41"/>
      <c r="U10" s="41"/>
      <c r="V10" s="55">
        <v>450</v>
      </c>
      <c r="W10" s="41"/>
      <c r="X10" s="41"/>
      <c r="Y10" s="41"/>
      <c r="Z10" s="41"/>
      <c r="AA10" s="41" t="s">
        <v>65</v>
      </c>
      <c r="AB10" s="41"/>
      <c r="AC10" s="41"/>
      <c r="AD10" s="41"/>
      <c r="AE10" s="41"/>
      <c r="AF10" s="56">
        <v>3020069</v>
      </c>
      <c r="AG10" s="41"/>
      <c r="AH10" s="42"/>
      <c r="AI10" s="40"/>
    </row>
    <row r="11" spans="1:35" s="47" customFormat="1" ht="20.100000000000001" customHeight="1">
      <c r="A11" s="40" t="s">
        <v>226</v>
      </c>
      <c r="B11" s="41">
        <v>1</v>
      </c>
      <c r="C11" s="41">
        <v>2</v>
      </c>
      <c r="D11" s="55" t="s">
        <v>276</v>
      </c>
      <c r="E11" s="55">
        <v>1200</v>
      </c>
      <c r="F11" s="40" t="s">
        <v>236</v>
      </c>
      <c r="G11" s="41" t="s">
        <v>60</v>
      </c>
      <c r="H11" s="40" t="s">
        <v>247</v>
      </c>
      <c r="I11" s="40" t="s">
        <v>255</v>
      </c>
      <c r="J11" s="40" t="s">
        <v>61</v>
      </c>
      <c r="K11" s="40" t="s">
        <v>62</v>
      </c>
      <c r="L11" s="41" t="s">
        <v>63</v>
      </c>
      <c r="M11" s="41" t="s">
        <v>64</v>
      </c>
      <c r="N11" s="40" t="s">
        <v>273</v>
      </c>
      <c r="O11" s="41">
        <v>0</v>
      </c>
      <c r="P11" s="41">
        <v>0</v>
      </c>
      <c r="Q11" s="41"/>
      <c r="R11" s="41"/>
      <c r="S11" s="41"/>
      <c r="T11" s="41"/>
      <c r="U11" s="41"/>
      <c r="V11" s="55">
        <v>1200</v>
      </c>
      <c r="W11" s="41"/>
      <c r="X11" s="41"/>
      <c r="Y11" s="41"/>
      <c r="Z11" s="41"/>
      <c r="AA11" s="41" t="s">
        <v>65</v>
      </c>
      <c r="AB11" s="41"/>
      <c r="AC11" s="41"/>
      <c r="AD11" s="41"/>
      <c r="AE11" s="41"/>
      <c r="AF11" s="56">
        <v>3020070</v>
      </c>
      <c r="AG11" s="41"/>
      <c r="AH11" s="42"/>
      <c r="AI11" s="40"/>
    </row>
    <row r="12" spans="1:35" s="47" customFormat="1" ht="20.100000000000001" customHeight="1">
      <c r="A12" s="40" t="s">
        <v>227</v>
      </c>
      <c r="B12" s="41">
        <v>1</v>
      </c>
      <c r="C12" s="41">
        <v>2</v>
      </c>
      <c r="D12" s="55" t="s">
        <v>276</v>
      </c>
      <c r="E12" s="55">
        <v>5000</v>
      </c>
      <c r="F12" s="40" t="s">
        <v>237</v>
      </c>
      <c r="G12" s="41" t="s">
        <v>60</v>
      </c>
      <c r="H12" s="40" t="s">
        <v>247</v>
      </c>
      <c r="I12" s="40" t="s">
        <v>256</v>
      </c>
      <c r="J12" s="40" t="s">
        <v>61</v>
      </c>
      <c r="K12" s="40" t="s">
        <v>62</v>
      </c>
      <c r="L12" s="41" t="s">
        <v>63</v>
      </c>
      <c r="M12" s="41" t="s">
        <v>64</v>
      </c>
      <c r="N12" s="40" t="s">
        <v>273</v>
      </c>
      <c r="O12" s="41">
        <v>0</v>
      </c>
      <c r="P12" s="41">
        <v>0</v>
      </c>
      <c r="Q12" s="41"/>
      <c r="R12" s="41"/>
      <c r="S12" s="41"/>
      <c r="T12" s="41"/>
      <c r="U12" s="41"/>
      <c r="V12" s="55">
        <v>5000</v>
      </c>
      <c r="W12" s="41"/>
      <c r="X12" s="41"/>
      <c r="Y12" s="41"/>
      <c r="Z12" s="41"/>
      <c r="AA12" s="41" t="s">
        <v>65</v>
      </c>
      <c r="AB12" s="41"/>
      <c r="AC12" s="41"/>
      <c r="AD12" s="41"/>
      <c r="AE12" s="41"/>
      <c r="AF12" s="56">
        <v>3020071</v>
      </c>
      <c r="AG12" s="41"/>
      <c r="AH12" s="42"/>
      <c r="AI12" s="40"/>
    </row>
    <row r="13" spans="1:35" s="47" customFormat="1" ht="20.100000000000001" customHeight="1">
      <c r="A13" s="40" t="s">
        <v>228</v>
      </c>
      <c r="B13" s="41">
        <v>1</v>
      </c>
      <c r="C13" s="41">
        <v>2</v>
      </c>
      <c r="D13" s="55" t="s">
        <v>276</v>
      </c>
      <c r="E13" s="55">
        <v>15000</v>
      </c>
      <c r="F13" s="40" t="s">
        <v>238</v>
      </c>
      <c r="G13" s="41" t="s">
        <v>60</v>
      </c>
      <c r="H13" s="40" t="s">
        <v>247</v>
      </c>
      <c r="I13" s="40" t="s">
        <v>257</v>
      </c>
      <c r="J13" s="40" t="s">
        <v>61</v>
      </c>
      <c r="K13" s="40" t="s">
        <v>62</v>
      </c>
      <c r="L13" s="41" t="s">
        <v>63</v>
      </c>
      <c r="M13" s="41" t="s">
        <v>64</v>
      </c>
      <c r="N13" s="40" t="s">
        <v>273</v>
      </c>
      <c r="O13" s="41">
        <v>0</v>
      </c>
      <c r="P13" s="41">
        <v>0</v>
      </c>
      <c r="Q13" s="41"/>
      <c r="R13" s="41"/>
      <c r="S13" s="41"/>
      <c r="T13" s="41"/>
      <c r="U13" s="41"/>
      <c r="V13" s="55">
        <v>15000</v>
      </c>
      <c r="W13" s="41"/>
      <c r="X13" s="41"/>
      <c r="Y13" s="41"/>
      <c r="Z13" s="41"/>
      <c r="AA13" s="41" t="s">
        <v>65</v>
      </c>
      <c r="AB13" s="41"/>
      <c r="AC13" s="41"/>
      <c r="AD13" s="41"/>
      <c r="AE13" s="41"/>
      <c r="AF13" s="56">
        <v>3020072</v>
      </c>
      <c r="AG13" s="41"/>
      <c r="AH13" s="42"/>
      <c r="AI13" s="40"/>
    </row>
    <row r="14" spans="1:35" s="47" customFormat="1" ht="20.100000000000001" customHeight="1">
      <c r="A14" s="40" t="s">
        <v>229</v>
      </c>
      <c r="B14" s="41">
        <v>1</v>
      </c>
      <c r="C14" s="41">
        <v>2</v>
      </c>
      <c r="D14" s="55" t="s">
        <v>276</v>
      </c>
      <c r="E14" s="55">
        <v>30000</v>
      </c>
      <c r="F14" s="40" t="s">
        <v>239</v>
      </c>
      <c r="G14" s="41" t="s">
        <v>60</v>
      </c>
      <c r="H14" s="40" t="s">
        <v>247</v>
      </c>
      <c r="I14" s="40" t="s">
        <v>258</v>
      </c>
      <c r="J14" s="40" t="s">
        <v>61</v>
      </c>
      <c r="K14" s="40" t="s">
        <v>62</v>
      </c>
      <c r="L14" s="41" t="s">
        <v>63</v>
      </c>
      <c r="M14" s="41" t="s">
        <v>64</v>
      </c>
      <c r="N14" s="40" t="s">
        <v>273</v>
      </c>
      <c r="O14" s="41">
        <v>0</v>
      </c>
      <c r="P14" s="41">
        <v>0</v>
      </c>
      <c r="Q14" s="41"/>
      <c r="R14" s="41"/>
      <c r="S14" s="41"/>
      <c r="T14" s="41"/>
      <c r="U14" s="41"/>
      <c r="V14" s="55">
        <v>30000</v>
      </c>
      <c r="W14" s="41"/>
      <c r="X14" s="41"/>
      <c r="Y14" s="41"/>
      <c r="Z14" s="41"/>
      <c r="AA14" s="41" t="s">
        <v>65</v>
      </c>
      <c r="AB14" s="41"/>
      <c r="AC14" s="41"/>
      <c r="AD14" s="41"/>
      <c r="AE14" s="41"/>
      <c r="AF14" s="56">
        <v>3020073</v>
      </c>
      <c r="AG14" s="41"/>
      <c r="AH14" s="42"/>
      <c r="AI14" s="40"/>
    </row>
    <row r="15" spans="1:35" s="47" customFormat="1" ht="20.100000000000001" customHeight="1">
      <c r="A15" s="40" t="s">
        <v>230</v>
      </c>
      <c r="B15" s="41">
        <v>1</v>
      </c>
      <c r="C15" s="41">
        <v>2</v>
      </c>
      <c r="D15" s="55" t="s">
        <v>276</v>
      </c>
      <c r="E15" s="55">
        <v>50000</v>
      </c>
      <c r="F15" s="40" t="s">
        <v>240</v>
      </c>
      <c r="G15" s="41" t="s">
        <v>60</v>
      </c>
      <c r="H15" s="40" t="s">
        <v>247</v>
      </c>
      <c r="I15" s="40" t="s">
        <v>259</v>
      </c>
      <c r="J15" s="40" t="s">
        <v>61</v>
      </c>
      <c r="K15" s="40" t="s">
        <v>62</v>
      </c>
      <c r="L15" s="41" t="s">
        <v>63</v>
      </c>
      <c r="M15" s="41" t="s">
        <v>64</v>
      </c>
      <c r="N15" s="40" t="s">
        <v>273</v>
      </c>
      <c r="O15" s="41">
        <v>0</v>
      </c>
      <c r="P15" s="41">
        <v>0</v>
      </c>
      <c r="Q15" s="41"/>
      <c r="R15" s="41"/>
      <c r="S15" s="41"/>
      <c r="T15" s="41"/>
      <c r="U15" s="41"/>
      <c r="V15" s="55">
        <v>50000</v>
      </c>
      <c r="W15" s="41"/>
      <c r="X15" s="41"/>
      <c r="Y15" s="41"/>
      <c r="Z15" s="41"/>
      <c r="AA15" s="41" t="s">
        <v>65</v>
      </c>
      <c r="AB15" s="41"/>
      <c r="AC15" s="41"/>
      <c r="AD15" s="41"/>
      <c r="AE15" s="41"/>
      <c r="AF15" s="56">
        <v>3020074</v>
      </c>
      <c r="AG15" s="41"/>
      <c r="AH15" s="42"/>
      <c r="AI15" s="40"/>
    </row>
    <row r="16" spans="1:35" s="48" customFormat="1" ht="20.100000000000001" customHeight="1">
      <c r="A16" s="13" t="s">
        <v>70</v>
      </c>
      <c r="B16" s="14">
        <v>2</v>
      </c>
      <c r="C16" s="14">
        <v>0</v>
      </c>
      <c r="D16" s="13" t="s">
        <v>71</v>
      </c>
      <c r="E16" s="13" t="s">
        <v>72</v>
      </c>
      <c r="F16" s="13" t="s">
        <v>73</v>
      </c>
      <c r="G16" s="14" t="s">
        <v>60</v>
      </c>
      <c r="H16" s="11" t="s">
        <v>277</v>
      </c>
      <c r="I16" s="11" t="s">
        <v>278</v>
      </c>
      <c r="J16" s="13" t="s">
        <v>61</v>
      </c>
      <c r="K16" s="13" t="s">
        <v>62</v>
      </c>
      <c r="L16" s="14" t="s">
        <v>63</v>
      </c>
      <c r="M16" s="14" t="s">
        <v>64</v>
      </c>
      <c r="N16" s="15" t="s">
        <v>273</v>
      </c>
      <c r="O16" s="14">
        <v>0</v>
      </c>
      <c r="P16" s="14">
        <v>0</v>
      </c>
      <c r="Q16" s="14"/>
      <c r="R16" s="14"/>
      <c r="S16" s="14"/>
      <c r="T16" s="14">
        <v>60</v>
      </c>
      <c r="U16" s="14"/>
      <c r="V16" s="14"/>
      <c r="W16" s="14"/>
      <c r="X16" s="14"/>
      <c r="Y16" s="14"/>
      <c r="Z16" s="14"/>
      <c r="AA16" s="14" t="s">
        <v>74</v>
      </c>
      <c r="AB16" s="14"/>
      <c r="AC16" s="14"/>
      <c r="AD16" s="14"/>
      <c r="AE16" s="14"/>
      <c r="AF16" s="14"/>
      <c r="AG16" s="14"/>
      <c r="AH16" s="34"/>
      <c r="AI16" s="20"/>
    </row>
    <row r="17" spans="1:35" s="48" customFormat="1" ht="20.100000000000001" customHeight="1">
      <c r="A17" s="13" t="s">
        <v>75</v>
      </c>
      <c r="B17" s="14">
        <v>2</v>
      </c>
      <c r="C17" s="14">
        <v>0</v>
      </c>
      <c r="D17" s="13" t="s">
        <v>76</v>
      </c>
      <c r="E17" s="13" t="s">
        <v>77</v>
      </c>
      <c r="F17" s="13" t="s">
        <v>78</v>
      </c>
      <c r="G17" s="14" t="s">
        <v>60</v>
      </c>
      <c r="H17" s="11" t="s">
        <v>277</v>
      </c>
      <c r="I17" s="11" t="s">
        <v>278</v>
      </c>
      <c r="J17" s="13" t="s">
        <v>61</v>
      </c>
      <c r="K17" s="13" t="s">
        <v>62</v>
      </c>
      <c r="L17" s="14" t="s">
        <v>63</v>
      </c>
      <c r="M17" s="14" t="s">
        <v>64</v>
      </c>
      <c r="N17" s="15" t="s">
        <v>273</v>
      </c>
      <c r="O17" s="14">
        <v>0</v>
      </c>
      <c r="P17" s="13" t="s">
        <v>70</v>
      </c>
      <c r="Q17" s="14"/>
      <c r="R17" s="14"/>
      <c r="S17" s="14"/>
      <c r="T17" s="14">
        <v>120</v>
      </c>
      <c r="U17" s="14"/>
      <c r="V17" s="14"/>
      <c r="W17" s="14"/>
      <c r="X17" s="14"/>
      <c r="Y17" s="14"/>
      <c r="Z17" s="14"/>
      <c r="AA17" s="14" t="s">
        <v>74</v>
      </c>
      <c r="AB17" s="14"/>
      <c r="AC17" s="14"/>
      <c r="AD17" s="14"/>
      <c r="AE17" s="14"/>
      <c r="AF17" s="14"/>
      <c r="AG17" s="14"/>
      <c r="AH17" s="34"/>
      <c r="AI17" s="20"/>
    </row>
    <row r="18" spans="1:35" s="48" customFormat="1" ht="20.100000000000001" customHeight="1">
      <c r="A18" s="13" t="s">
        <v>79</v>
      </c>
      <c r="B18" s="14">
        <v>2</v>
      </c>
      <c r="C18" s="14">
        <v>0</v>
      </c>
      <c r="D18" s="13" t="s">
        <v>80</v>
      </c>
      <c r="E18" s="13" t="s">
        <v>81</v>
      </c>
      <c r="F18" s="13" t="s">
        <v>82</v>
      </c>
      <c r="G18" s="14" t="s">
        <v>60</v>
      </c>
      <c r="H18" s="11" t="s">
        <v>277</v>
      </c>
      <c r="I18" s="11" t="s">
        <v>278</v>
      </c>
      <c r="J18" s="13" t="s">
        <v>61</v>
      </c>
      <c r="K18" s="13" t="s">
        <v>62</v>
      </c>
      <c r="L18" s="14" t="s">
        <v>63</v>
      </c>
      <c r="M18" s="14" t="s">
        <v>64</v>
      </c>
      <c r="N18" s="15" t="s">
        <v>273</v>
      </c>
      <c r="O18" s="14">
        <v>0</v>
      </c>
      <c r="P18" s="13" t="s">
        <v>75</v>
      </c>
      <c r="Q18" s="14"/>
      <c r="R18" s="14"/>
      <c r="S18" s="14"/>
      <c r="T18" s="14">
        <v>180</v>
      </c>
      <c r="U18" s="14"/>
      <c r="V18" s="14"/>
      <c r="W18" s="14"/>
      <c r="X18" s="14"/>
      <c r="Y18" s="14"/>
      <c r="Z18" s="14"/>
      <c r="AA18" s="14" t="s">
        <v>74</v>
      </c>
      <c r="AB18" s="14"/>
      <c r="AC18" s="14"/>
      <c r="AD18" s="14"/>
      <c r="AE18" s="14"/>
      <c r="AF18" s="14"/>
      <c r="AG18" s="14"/>
      <c r="AH18" s="34"/>
      <c r="AI18" s="20"/>
    </row>
    <row r="19" spans="1:35" s="48" customFormat="1" ht="20.100000000000001" customHeight="1">
      <c r="A19" s="13" t="s">
        <v>83</v>
      </c>
      <c r="B19" s="14">
        <v>2</v>
      </c>
      <c r="C19" s="14">
        <v>0</v>
      </c>
      <c r="D19" s="13" t="s">
        <v>84</v>
      </c>
      <c r="E19" s="13" t="s">
        <v>85</v>
      </c>
      <c r="F19" s="13" t="s">
        <v>86</v>
      </c>
      <c r="G19" s="14" t="s">
        <v>60</v>
      </c>
      <c r="H19" s="11" t="s">
        <v>277</v>
      </c>
      <c r="I19" s="11" t="s">
        <v>278</v>
      </c>
      <c r="J19" s="13" t="s">
        <v>61</v>
      </c>
      <c r="K19" s="13" t="s">
        <v>62</v>
      </c>
      <c r="L19" s="14" t="s">
        <v>63</v>
      </c>
      <c r="M19" s="14" t="s">
        <v>64</v>
      </c>
      <c r="N19" s="15" t="s">
        <v>273</v>
      </c>
      <c r="O19" s="14">
        <v>0</v>
      </c>
      <c r="P19" s="13" t="s">
        <v>79</v>
      </c>
      <c r="Q19" s="14"/>
      <c r="R19" s="14"/>
      <c r="S19" s="14"/>
      <c r="T19" s="14">
        <v>240</v>
      </c>
      <c r="U19" s="14"/>
      <c r="V19" s="14"/>
      <c r="W19" s="14"/>
      <c r="X19" s="14"/>
      <c r="Y19" s="14"/>
      <c r="Z19" s="14"/>
      <c r="AA19" s="14" t="s">
        <v>74</v>
      </c>
      <c r="AB19" s="14"/>
      <c r="AC19" s="14"/>
      <c r="AD19" s="14"/>
      <c r="AE19" s="14"/>
      <c r="AF19" s="14"/>
      <c r="AG19" s="14"/>
      <c r="AH19" s="34"/>
      <c r="AI19" s="20"/>
    </row>
    <row r="20" spans="1:35" s="48" customFormat="1" ht="20.100000000000001" customHeight="1">
      <c r="A20" s="13" t="s">
        <v>87</v>
      </c>
      <c r="B20" s="14">
        <v>2</v>
      </c>
      <c r="C20" s="14">
        <v>0</v>
      </c>
      <c r="D20" s="13" t="s">
        <v>88</v>
      </c>
      <c r="E20" s="13" t="s">
        <v>82</v>
      </c>
      <c r="F20" s="13" t="s">
        <v>89</v>
      </c>
      <c r="G20" s="14" t="s">
        <v>60</v>
      </c>
      <c r="H20" s="11" t="s">
        <v>277</v>
      </c>
      <c r="I20" s="11" t="s">
        <v>278</v>
      </c>
      <c r="J20" s="13" t="s">
        <v>61</v>
      </c>
      <c r="K20" s="13" t="s">
        <v>62</v>
      </c>
      <c r="L20" s="14" t="s">
        <v>63</v>
      </c>
      <c r="M20" s="14" t="s">
        <v>64</v>
      </c>
      <c r="N20" s="15" t="s">
        <v>273</v>
      </c>
      <c r="O20" s="14">
        <v>0</v>
      </c>
      <c r="P20" s="13" t="s">
        <v>83</v>
      </c>
      <c r="Q20" s="14"/>
      <c r="R20" s="14"/>
      <c r="S20" s="14"/>
      <c r="T20" s="14">
        <v>300</v>
      </c>
      <c r="U20" s="14"/>
      <c r="V20" s="14"/>
      <c r="W20" s="14"/>
      <c r="X20" s="14"/>
      <c r="Y20" s="14"/>
      <c r="Z20" s="14"/>
      <c r="AA20" s="14" t="s">
        <v>74</v>
      </c>
      <c r="AB20" s="14"/>
      <c r="AC20" s="14"/>
      <c r="AD20" s="14"/>
      <c r="AE20" s="14"/>
      <c r="AF20" s="14"/>
      <c r="AG20" s="14"/>
      <c r="AH20" s="34"/>
      <c r="AI20" s="20"/>
    </row>
    <row r="21" spans="1:35" s="48" customFormat="1" ht="20.100000000000001" customHeight="1">
      <c r="A21" s="13" t="s">
        <v>90</v>
      </c>
      <c r="B21" s="14">
        <v>2</v>
      </c>
      <c r="C21" s="14">
        <v>0</v>
      </c>
      <c r="D21" s="13" t="s">
        <v>91</v>
      </c>
      <c r="E21" s="13" t="s">
        <v>92</v>
      </c>
      <c r="F21" s="13" t="s">
        <v>93</v>
      </c>
      <c r="G21" s="14" t="s">
        <v>60</v>
      </c>
      <c r="H21" s="11" t="s">
        <v>277</v>
      </c>
      <c r="I21" s="11" t="s">
        <v>278</v>
      </c>
      <c r="J21" s="13" t="s">
        <v>61</v>
      </c>
      <c r="K21" s="13" t="s">
        <v>62</v>
      </c>
      <c r="L21" s="14" t="s">
        <v>63</v>
      </c>
      <c r="M21" s="14" t="s">
        <v>64</v>
      </c>
      <c r="N21" s="15" t="s">
        <v>273</v>
      </c>
      <c r="O21" s="14">
        <v>0</v>
      </c>
      <c r="P21" s="13" t="s">
        <v>87</v>
      </c>
      <c r="Q21" s="14"/>
      <c r="R21" s="14"/>
      <c r="S21" s="14"/>
      <c r="T21" s="14">
        <v>600</v>
      </c>
      <c r="U21" s="14"/>
      <c r="V21" s="14"/>
      <c r="W21" s="14"/>
      <c r="X21" s="14"/>
      <c r="Y21" s="14"/>
      <c r="Z21" s="14"/>
      <c r="AA21" s="14" t="s">
        <v>74</v>
      </c>
      <c r="AB21" s="14"/>
      <c r="AC21" s="14"/>
      <c r="AD21" s="14"/>
      <c r="AE21" s="14"/>
      <c r="AF21" s="14"/>
      <c r="AG21" s="14"/>
      <c r="AH21" s="34"/>
      <c r="AI21" s="20"/>
    </row>
    <row r="22" spans="1:35" s="48" customFormat="1" ht="20.100000000000001" customHeight="1">
      <c r="A22" s="13" t="s">
        <v>94</v>
      </c>
      <c r="B22" s="14">
        <v>3</v>
      </c>
      <c r="C22" s="14">
        <v>0</v>
      </c>
      <c r="D22" s="14" t="s">
        <v>95</v>
      </c>
      <c r="E22" s="14" t="s">
        <v>96</v>
      </c>
      <c r="F22" s="14" t="s">
        <v>97</v>
      </c>
      <c r="G22" s="14" t="s">
        <v>60</v>
      </c>
      <c r="H22" s="11" t="s">
        <v>277</v>
      </c>
      <c r="I22" s="11" t="s">
        <v>278</v>
      </c>
      <c r="J22" s="13" t="s">
        <v>61</v>
      </c>
      <c r="K22" s="13" t="s">
        <v>62</v>
      </c>
      <c r="L22" s="14" t="s">
        <v>63</v>
      </c>
      <c r="M22" s="14" t="s">
        <v>98</v>
      </c>
      <c r="N22" s="15" t="s">
        <v>273</v>
      </c>
      <c r="O22" s="14">
        <v>0</v>
      </c>
      <c r="P22" s="14">
        <v>0</v>
      </c>
      <c r="Q22" s="14" t="s">
        <v>99</v>
      </c>
      <c r="R22" s="14">
        <v>2</v>
      </c>
      <c r="S22" s="14">
        <v>2</v>
      </c>
      <c r="T22" s="14"/>
      <c r="U22" s="14"/>
      <c r="V22" s="14"/>
      <c r="W22" s="14"/>
      <c r="X22" s="14"/>
      <c r="Y22" s="14"/>
      <c r="Z22" s="14"/>
      <c r="AA22" s="14" t="s">
        <v>100</v>
      </c>
      <c r="AB22" s="14"/>
      <c r="AC22" s="14"/>
      <c r="AD22" s="14"/>
      <c r="AE22" s="14"/>
      <c r="AF22" s="14"/>
      <c r="AG22" s="14"/>
      <c r="AH22" s="34"/>
      <c r="AI22" s="20"/>
    </row>
    <row r="23" spans="1:35" s="48" customFormat="1" ht="20.100000000000001" customHeight="1">
      <c r="A23" s="13" t="s">
        <v>101</v>
      </c>
      <c r="B23" s="14">
        <v>3</v>
      </c>
      <c r="C23" s="14">
        <v>0</v>
      </c>
      <c r="D23" s="14" t="s">
        <v>95</v>
      </c>
      <c r="E23" s="14" t="s">
        <v>96</v>
      </c>
      <c r="F23" s="14" t="s">
        <v>97</v>
      </c>
      <c r="G23" s="14" t="s">
        <v>60</v>
      </c>
      <c r="H23" s="11" t="s">
        <v>277</v>
      </c>
      <c r="I23" s="11" t="s">
        <v>278</v>
      </c>
      <c r="J23" s="13" t="s">
        <v>61</v>
      </c>
      <c r="K23" s="13" t="s">
        <v>62</v>
      </c>
      <c r="L23" s="14" t="s">
        <v>63</v>
      </c>
      <c r="M23" s="14" t="s">
        <v>98</v>
      </c>
      <c r="N23" s="15" t="s">
        <v>273</v>
      </c>
      <c r="O23" s="14">
        <v>0</v>
      </c>
      <c r="P23" s="14">
        <v>0</v>
      </c>
      <c r="Q23" s="14" t="s">
        <v>102</v>
      </c>
      <c r="R23" s="14">
        <v>2</v>
      </c>
      <c r="S23" s="14">
        <v>2</v>
      </c>
      <c r="T23" s="14"/>
      <c r="U23" s="14"/>
      <c r="V23" s="14"/>
      <c r="W23" s="14"/>
      <c r="X23" s="14"/>
      <c r="Y23" s="14"/>
      <c r="Z23" s="14"/>
      <c r="AA23" s="14" t="s">
        <v>100</v>
      </c>
      <c r="AB23" s="14"/>
      <c r="AC23" s="14"/>
      <c r="AD23" s="14"/>
      <c r="AE23" s="14"/>
      <c r="AF23" s="14"/>
      <c r="AG23" s="14"/>
      <c r="AH23" s="34"/>
      <c r="AI23" s="20"/>
    </row>
    <row r="24" spans="1:35" s="48" customFormat="1" ht="20.100000000000001" customHeight="1">
      <c r="A24" s="13" t="s">
        <v>103</v>
      </c>
      <c r="B24" s="14">
        <v>3</v>
      </c>
      <c r="C24" s="14">
        <v>0</v>
      </c>
      <c r="D24" s="14" t="s">
        <v>95</v>
      </c>
      <c r="E24" s="14" t="s">
        <v>96</v>
      </c>
      <c r="F24" s="14" t="s">
        <v>97</v>
      </c>
      <c r="G24" s="14" t="s">
        <v>60</v>
      </c>
      <c r="H24" s="11" t="s">
        <v>277</v>
      </c>
      <c r="I24" s="11" t="s">
        <v>278</v>
      </c>
      <c r="J24" s="13" t="s">
        <v>61</v>
      </c>
      <c r="K24" s="13" t="s">
        <v>62</v>
      </c>
      <c r="L24" s="14" t="s">
        <v>63</v>
      </c>
      <c r="M24" s="14" t="s">
        <v>98</v>
      </c>
      <c r="N24" s="15" t="s">
        <v>273</v>
      </c>
      <c r="O24" s="14">
        <v>0</v>
      </c>
      <c r="P24" s="14">
        <v>0</v>
      </c>
      <c r="Q24" s="14" t="s">
        <v>104</v>
      </c>
      <c r="R24" s="14">
        <v>2</v>
      </c>
      <c r="S24" s="14">
        <v>2</v>
      </c>
      <c r="T24" s="14"/>
      <c r="U24" s="14"/>
      <c r="V24" s="14"/>
      <c r="W24" s="14"/>
      <c r="X24" s="14"/>
      <c r="Y24" s="14"/>
      <c r="Z24" s="14"/>
      <c r="AA24" s="14" t="s">
        <v>100</v>
      </c>
      <c r="AB24" s="14"/>
      <c r="AC24" s="14"/>
      <c r="AD24" s="14"/>
      <c r="AE24" s="14"/>
      <c r="AF24" s="14"/>
      <c r="AG24" s="14"/>
      <c r="AH24" s="34"/>
      <c r="AI24" s="20"/>
    </row>
    <row r="25" spans="1:35" s="48" customFormat="1" ht="20.100000000000001" customHeight="1">
      <c r="A25" s="13" t="s">
        <v>105</v>
      </c>
      <c r="B25" s="14">
        <v>3</v>
      </c>
      <c r="C25" s="14">
        <v>0</v>
      </c>
      <c r="D25" s="14" t="s">
        <v>95</v>
      </c>
      <c r="E25" s="14" t="s">
        <v>96</v>
      </c>
      <c r="F25" s="14" t="s">
        <v>97</v>
      </c>
      <c r="G25" s="14" t="s">
        <v>60</v>
      </c>
      <c r="H25" s="11" t="s">
        <v>277</v>
      </c>
      <c r="I25" s="11" t="s">
        <v>278</v>
      </c>
      <c r="J25" s="13" t="s">
        <v>61</v>
      </c>
      <c r="K25" s="13" t="s">
        <v>62</v>
      </c>
      <c r="L25" s="14" t="s">
        <v>63</v>
      </c>
      <c r="M25" s="14" t="s">
        <v>98</v>
      </c>
      <c r="N25" s="15" t="s">
        <v>273</v>
      </c>
      <c r="O25" s="14">
        <v>0</v>
      </c>
      <c r="P25" s="14">
        <v>0</v>
      </c>
      <c r="Q25" s="14" t="s">
        <v>106</v>
      </c>
      <c r="R25" s="14">
        <v>2</v>
      </c>
      <c r="S25" s="14">
        <v>2</v>
      </c>
      <c r="T25" s="14"/>
      <c r="U25" s="14"/>
      <c r="V25" s="14"/>
      <c r="W25" s="14"/>
      <c r="X25" s="14"/>
      <c r="Y25" s="14"/>
      <c r="Z25" s="14"/>
      <c r="AA25" s="14" t="s">
        <v>100</v>
      </c>
      <c r="AB25" s="14"/>
      <c r="AC25" s="14"/>
      <c r="AD25" s="14"/>
      <c r="AE25" s="14"/>
      <c r="AF25" s="14"/>
      <c r="AG25" s="14"/>
      <c r="AH25" s="34"/>
      <c r="AI25" s="20"/>
    </row>
    <row r="26" spans="1:35" s="49" customFormat="1" ht="20.100000000000001" customHeight="1">
      <c r="A26" s="16">
        <v>104001</v>
      </c>
      <c r="B26" s="17">
        <v>4</v>
      </c>
      <c r="C26" s="17">
        <v>0</v>
      </c>
      <c r="D26" s="16" t="s">
        <v>279</v>
      </c>
      <c r="E26" s="16" t="s">
        <v>280</v>
      </c>
      <c r="F26" s="16" t="s">
        <v>281</v>
      </c>
      <c r="G26" s="16" t="s">
        <v>282</v>
      </c>
      <c r="H26" s="18" t="s">
        <v>283</v>
      </c>
      <c r="I26" s="18" t="s">
        <v>318</v>
      </c>
      <c r="J26" s="19" t="s">
        <v>319</v>
      </c>
      <c r="K26" s="19" t="s">
        <v>320</v>
      </c>
      <c r="L26" s="16" t="s">
        <v>63</v>
      </c>
      <c r="M26" s="16" t="s">
        <v>321</v>
      </c>
      <c r="N26" s="33" t="s">
        <v>273</v>
      </c>
      <c r="O26" s="16">
        <v>0</v>
      </c>
      <c r="P26" s="16">
        <v>0</v>
      </c>
      <c r="Q26" s="16"/>
      <c r="R26" s="16"/>
      <c r="S26" s="16"/>
      <c r="T26" s="16"/>
      <c r="U26" s="16"/>
      <c r="V26" s="16"/>
      <c r="W26" s="16"/>
      <c r="X26" s="16"/>
      <c r="Y26" s="16">
        <v>6000</v>
      </c>
      <c r="Z26" s="16"/>
      <c r="AA26" s="16"/>
      <c r="AB26" s="16"/>
      <c r="AC26" s="16"/>
      <c r="AD26" s="16"/>
      <c r="AE26" s="16"/>
      <c r="AF26" s="16"/>
      <c r="AG26" s="16"/>
      <c r="AH26" s="4">
        <v>1303</v>
      </c>
      <c r="AI26" s="33"/>
    </row>
    <row r="27" spans="1:35" s="48" customFormat="1" ht="20.100000000000001" customHeight="1">
      <c r="A27" s="20" t="s">
        <v>322</v>
      </c>
      <c r="B27" s="21">
        <v>5</v>
      </c>
      <c r="C27" s="21">
        <v>0</v>
      </c>
      <c r="D27" s="21" t="s">
        <v>108</v>
      </c>
      <c r="E27" s="21" t="s">
        <v>323</v>
      </c>
      <c r="F27" s="21" t="s">
        <v>323</v>
      </c>
      <c r="G27" s="21" t="s">
        <v>60</v>
      </c>
      <c r="H27" s="20" t="s">
        <v>283</v>
      </c>
      <c r="I27" s="20" t="s">
        <v>318</v>
      </c>
      <c r="J27" s="20" t="s">
        <v>61</v>
      </c>
      <c r="K27" s="20" t="s">
        <v>62</v>
      </c>
      <c r="L27" s="21" t="s">
        <v>63</v>
      </c>
      <c r="M27" s="21" t="s">
        <v>64</v>
      </c>
      <c r="N27" s="20" t="s">
        <v>196</v>
      </c>
      <c r="O27" s="21">
        <v>0</v>
      </c>
      <c r="P27" s="21">
        <v>0</v>
      </c>
      <c r="Q27" s="21"/>
      <c r="R27" s="21"/>
      <c r="S27" s="21"/>
      <c r="T27" s="21"/>
      <c r="U27" s="21">
        <v>5</v>
      </c>
      <c r="V27" s="21"/>
      <c r="W27" s="21"/>
      <c r="X27" s="21"/>
      <c r="Y27" s="21"/>
      <c r="Z27" s="21"/>
      <c r="AA27" s="21" t="s">
        <v>110</v>
      </c>
      <c r="AB27" s="21"/>
      <c r="AC27" s="21"/>
      <c r="AD27" s="21"/>
      <c r="AE27" s="21"/>
      <c r="AF27" s="22">
        <v>3020011</v>
      </c>
      <c r="AG27" s="21"/>
      <c r="AH27" s="35"/>
      <c r="AI27" s="20"/>
    </row>
    <row r="28" spans="1:35" s="48" customFormat="1" ht="20.100000000000001" customHeight="1">
      <c r="A28" s="20" t="s">
        <v>107</v>
      </c>
      <c r="B28" s="21">
        <v>5</v>
      </c>
      <c r="C28" s="21">
        <v>0</v>
      </c>
      <c r="D28" s="21" t="s">
        <v>108</v>
      </c>
      <c r="E28" s="21" t="s">
        <v>109</v>
      </c>
      <c r="F28" s="21" t="s">
        <v>109</v>
      </c>
      <c r="G28" s="21" t="s">
        <v>60</v>
      </c>
      <c r="H28" s="20" t="s">
        <v>283</v>
      </c>
      <c r="I28" s="20" t="s">
        <v>318</v>
      </c>
      <c r="J28" s="20" t="s">
        <v>61</v>
      </c>
      <c r="K28" s="20" t="s">
        <v>62</v>
      </c>
      <c r="L28" s="21" t="s">
        <v>63</v>
      </c>
      <c r="M28" s="21" t="s">
        <v>64</v>
      </c>
      <c r="N28" s="20" t="s">
        <v>197</v>
      </c>
      <c r="O28" s="21">
        <v>0</v>
      </c>
      <c r="P28" s="21">
        <v>0</v>
      </c>
      <c r="Q28" s="21"/>
      <c r="R28" s="21"/>
      <c r="S28" s="21"/>
      <c r="T28" s="21"/>
      <c r="U28" s="21">
        <v>10</v>
      </c>
      <c r="V28" s="21"/>
      <c r="W28" s="21"/>
      <c r="X28" s="21"/>
      <c r="Y28" s="21"/>
      <c r="Z28" s="21"/>
      <c r="AA28" s="21" t="s">
        <v>110</v>
      </c>
      <c r="AB28" s="21"/>
      <c r="AC28" s="21"/>
      <c r="AD28" s="21"/>
      <c r="AE28" s="21"/>
      <c r="AF28" s="22">
        <v>3020012</v>
      </c>
      <c r="AG28" s="21"/>
      <c r="AH28" s="35"/>
      <c r="AI28" s="20"/>
    </row>
    <row r="29" spans="1:35" s="48" customFormat="1" ht="20.100000000000001" customHeight="1">
      <c r="A29" s="20" t="s">
        <v>112</v>
      </c>
      <c r="B29" s="21">
        <v>5</v>
      </c>
      <c r="C29" s="21">
        <v>0</v>
      </c>
      <c r="D29" s="21" t="s">
        <v>108</v>
      </c>
      <c r="E29" s="21" t="s">
        <v>113</v>
      </c>
      <c r="F29" s="21" t="s">
        <v>113</v>
      </c>
      <c r="G29" s="21" t="s">
        <v>60</v>
      </c>
      <c r="H29" s="20" t="s">
        <v>283</v>
      </c>
      <c r="I29" s="20" t="s">
        <v>318</v>
      </c>
      <c r="J29" s="20" t="s">
        <v>61</v>
      </c>
      <c r="K29" s="20" t="s">
        <v>62</v>
      </c>
      <c r="L29" s="21" t="s">
        <v>63</v>
      </c>
      <c r="M29" s="21" t="s">
        <v>64</v>
      </c>
      <c r="N29" s="20" t="s">
        <v>198</v>
      </c>
      <c r="O29" s="21">
        <v>0</v>
      </c>
      <c r="P29" s="21">
        <v>0</v>
      </c>
      <c r="Q29" s="21"/>
      <c r="R29" s="21"/>
      <c r="S29" s="21"/>
      <c r="T29" s="21"/>
      <c r="U29" s="21">
        <v>15</v>
      </c>
      <c r="V29" s="21"/>
      <c r="W29" s="21"/>
      <c r="X29" s="21"/>
      <c r="Y29" s="21"/>
      <c r="Z29" s="21"/>
      <c r="AA29" s="21" t="s">
        <v>110</v>
      </c>
      <c r="AB29" s="21"/>
      <c r="AC29" s="21"/>
      <c r="AD29" s="21"/>
      <c r="AE29" s="21"/>
      <c r="AF29" s="22">
        <v>3020013</v>
      </c>
      <c r="AG29" s="21"/>
      <c r="AH29" s="35"/>
      <c r="AI29" s="20"/>
    </row>
    <row r="30" spans="1:35" s="48" customFormat="1" ht="20.100000000000001" customHeight="1">
      <c r="A30" s="20" t="s">
        <v>114</v>
      </c>
      <c r="B30" s="21">
        <v>5</v>
      </c>
      <c r="C30" s="21">
        <v>0</v>
      </c>
      <c r="D30" s="21" t="s">
        <v>108</v>
      </c>
      <c r="E30" s="21" t="s">
        <v>115</v>
      </c>
      <c r="F30" s="21" t="s">
        <v>115</v>
      </c>
      <c r="G30" s="21" t="s">
        <v>60</v>
      </c>
      <c r="H30" s="20" t="s">
        <v>283</v>
      </c>
      <c r="I30" s="20" t="s">
        <v>318</v>
      </c>
      <c r="J30" s="20" t="s">
        <v>61</v>
      </c>
      <c r="K30" s="20" t="s">
        <v>62</v>
      </c>
      <c r="L30" s="21" t="s">
        <v>63</v>
      </c>
      <c r="M30" s="21" t="s">
        <v>64</v>
      </c>
      <c r="N30" s="20" t="s">
        <v>199</v>
      </c>
      <c r="O30" s="21">
        <v>0</v>
      </c>
      <c r="P30" s="21">
        <v>0</v>
      </c>
      <c r="Q30" s="21"/>
      <c r="R30" s="21"/>
      <c r="S30" s="21"/>
      <c r="T30" s="21"/>
      <c r="U30" s="21">
        <v>20</v>
      </c>
      <c r="V30" s="21"/>
      <c r="W30" s="21"/>
      <c r="X30" s="21"/>
      <c r="Y30" s="21"/>
      <c r="Z30" s="21"/>
      <c r="AA30" s="21" t="s">
        <v>110</v>
      </c>
      <c r="AB30" s="21"/>
      <c r="AC30" s="21"/>
      <c r="AD30" s="21"/>
      <c r="AE30" s="21"/>
      <c r="AF30" s="22">
        <v>3020014</v>
      </c>
      <c r="AG30" s="21"/>
      <c r="AH30" s="35"/>
      <c r="AI30" s="20"/>
    </row>
    <row r="31" spans="1:35" s="48" customFormat="1" ht="20.100000000000001" customHeight="1">
      <c r="A31" s="20" t="s">
        <v>116</v>
      </c>
      <c r="B31" s="21">
        <v>5</v>
      </c>
      <c r="C31" s="21">
        <v>0</v>
      </c>
      <c r="D31" s="21" t="s">
        <v>108</v>
      </c>
      <c r="E31" s="21" t="s">
        <v>117</v>
      </c>
      <c r="F31" s="21" t="s">
        <v>117</v>
      </c>
      <c r="G31" s="21" t="s">
        <v>60</v>
      </c>
      <c r="H31" s="20" t="s">
        <v>283</v>
      </c>
      <c r="I31" s="20" t="s">
        <v>318</v>
      </c>
      <c r="J31" s="20" t="s">
        <v>61</v>
      </c>
      <c r="K31" s="20" t="s">
        <v>62</v>
      </c>
      <c r="L31" s="21" t="s">
        <v>63</v>
      </c>
      <c r="M31" s="21" t="s">
        <v>64</v>
      </c>
      <c r="N31" s="20" t="s">
        <v>200</v>
      </c>
      <c r="O31" s="21">
        <v>0</v>
      </c>
      <c r="P31" s="21">
        <v>0</v>
      </c>
      <c r="Q31" s="21"/>
      <c r="R31" s="21"/>
      <c r="S31" s="21"/>
      <c r="T31" s="21"/>
      <c r="U31" s="21">
        <v>25</v>
      </c>
      <c r="V31" s="21"/>
      <c r="W31" s="21"/>
      <c r="X31" s="21"/>
      <c r="Y31" s="21"/>
      <c r="Z31" s="21"/>
      <c r="AA31" s="21" t="s">
        <v>110</v>
      </c>
      <c r="AB31" s="21"/>
      <c r="AC31" s="21"/>
      <c r="AD31" s="21"/>
      <c r="AE31" s="21"/>
      <c r="AF31" s="22">
        <v>3020015</v>
      </c>
      <c r="AG31" s="21"/>
      <c r="AH31" s="35"/>
      <c r="AI31" s="20"/>
    </row>
    <row r="32" spans="1:35" s="48" customFormat="1" ht="20.100000000000001" customHeight="1">
      <c r="A32" s="20" t="s">
        <v>118</v>
      </c>
      <c r="B32" s="21">
        <v>5</v>
      </c>
      <c r="C32" s="21">
        <v>0</v>
      </c>
      <c r="D32" s="21" t="s">
        <v>108</v>
      </c>
      <c r="E32" s="21" t="s">
        <v>119</v>
      </c>
      <c r="F32" s="21" t="s">
        <v>119</v>
      </c>
      <c r="G32" s="21" t="s">
        <v>60</v>
      </c>
      <c r="H32" s="20" t="s">
        <v>283</v>
      </c>
      <c r="I32" s="20" t="s">
        <v>318</v>
      </c>
      <c r="J32" s="20" t="s">
        <v>61</v>
      </c>
      <c r="K32" s="20" t="s">
        <v>62</v>
      </c>
      <c r="L32" s="21" t="s">
        <v>63</v>
      </c>
      <c r="M32" s="21" t="s">
        <v>64</v>
      </c>
      <c r="N32" s="20" t="s">
        <v>201</v>
      </c>
      <c r="O32" s="21">
        <v>0</v>
      </c>
      <c r="P32" s="21">
        <v>0</v>
      </c>
      <c r="Q32" s="21"/>
      <c r="R32" s="21"/>
      <c r="S32" s="21"/>
      <c r="T32" s="21"/>
      <c r="U32" s="21">
        <v>30</v>
      </c>
      <c r="V32" s="21"/>
      <c r="W32" s="21"/>
      <c r="X32" s="21"/>
      <c r="Y32" s="21"/>
      <c r="Z32" s="21"/>
      <c r="AA32" s="21" t="s">
        <v>110</v>
      </c>
      <c r="AB32" s="21"/>
      <c r="AC32" s="21"/>
      <c r="AD32" s="21"/>
      <c r="AE32" s="21"/>
      <c r="AF32" s="22">
        <v>3020016</v>
      </c>
      <c r="AG32" s="21"/>
      <c r="AH32" s="35"/>
      <c r="AI32" s="20"/>
    </row>
    <row r="33" spans="1:39" s="48" customFormat="1" ht="20.100000000000001" customHeight="1">
      <c r="A33" s="20" t="s">
        <v>120</v>
      </c>
      <c r="B33" s="21">
        <v>5</v>
      </c>
      <c r="C33" s="21">
        <v>0</v>
      </c>
      <c r="D33" s="21" t="s">
        <v>108</v>
      </c>
      <c r="E33" s="21" t="s">
        <v>121</v>
      </c>
      <c r="F33" s="21" t="s">
        <v>121</v>
      </c>
      <c r="G33" s="21" t="s">
        <v>60</v>
      </c>
      <c r="H33" s="20" t="s">
        <v>283</v>
      </c>
      <c r="I33" s="20" t="s">
        <v>318</v>
      </c>
      <c r="J33" s="20" t="s">
        <v>61</v>
      </c>
      <c r="K33" s="20" t="s">
        <v>62</v>
      </c>
      <c r="L33" s="21" t="s">
        <v>63</v>
      </c>
      <c r="M33" s="21" t="s">
        <v>64</v>
      </c>
      <c r="N33" s="20" t="s">
        <v>202</v>
      </c>
      <c r="O33" s="21">
        <v>0</v>
      </c>
      <c r="P33" s="21">
        <v>0</v>
      </c>
      <c r="Q33" s="21"/>
      <c r="R33" s="21"/>
      <c r="S33" s="21"/>
      <c r="T33" s="21"/>
      <c r="U33" s="21">
        <v>40</v>
      </c>
      <c r="V33" s="21"/>
      <c r="W33" s="21"/>
      <c r="X33" s="21"/>
      <c r="Y33" s="21"/>
      <c r="Z33" s="21"/>
      <c r="AA33" s="21" t="s">
        <v>110</v>
      </c>
      <c r="AB33" s="21"/>
      <c r="AC33" s="21"/>
      <c r="AD33" s="21"/>
      <c r="AE33" s="21"/>
      <c r="AF33" s="22">
        <v>3020017</v>
      </c>
      <c r="AG33" s="21"/>
      <c r="AH33" s="35"/>
      <c r="AI33" s="20"/>
    </row>
    <row r="34" spans="1:39" s="48" customFormat="1" ht="20.100000000000001" customHeight="1">
      <c r="A34" s="20" t="s">
        <v>122</v>
      </c>
      <c r="B34" s="21">
        <v>5</v>
      </c>
      <c r="C34" s="21">
        <v>0</v>
      </c>
      <c r="D34" s="21" t="s">
        <v>108</v>
      </c>
      <c r="E34" s="21" t="s">
        <v>123</v>
      </c>
      <c r="F34" s="21" t="s">
        <v>123</v>
      </c>
      <c r="G34" s="21" t="s">
        <v>60</v>
      </c>
      <c r="H34" s="20" t="s">
        <v>283</v>
      </c>
      <c r="I34" s="20" t="s">
        <v>318</v>
      </c>
      <c r="J34" s="20" t="s">
        <v>61</v>
      </c>
      <c r="K34" s="20" t="s">
        <v>62</v>
      </c>
      <c r="L34" s="21" t="s">
        <v>63</v>
      </c>
      <c r="M34" s="21" t="s">
        <v>64</v>
      </c>
      <c r="N34" s="20" t="s">
        <v>203</v>
      </c>
      <c r="O34" s="21">
        <v>0</v>
      </c>
      <c r="P34" s="21">
        <v>0</v>
      </c>
      <c r="Q34" s="21"/>
      <c r="R34" s="21"/>
      <c r="S34" s="21"/>
      <c r="T34" s="21"/>
      <c r="U34" s="21">
        <v>50</v>
      </c>
      <c r="V34" s="21"/>
      <c r="W34" s="21"/>
      <c r="X34" s="21"/>
      <c r="Y34" s="21"/>
      <c r="Z34" s="21"/>
      <c r="AA34" s="21" t="s">
        <v>110</v>
      </c>
      <c r="AB34" s="21"/>
      <c r="AC34" s="21"/>
      <c r="AD34" s="21"/>
      <c r="AE34" s="21"/>
      <c r="AF34" s="22">
        <v>3020018</v>
      </c>
      <c r="AG34" s="21"/>
      <c r="AH34" s="35"/>
      <c r="AI34" s="20"/>
    </row>
    <row r="35" spans="1:39" s="48" customFormat="1" ht="20.100000000000001" customHeight="1">
      <c r="A35" s="20" t="s">
        <v>124</v>
      </c>
      <c r="B35" s="21">
        <v>5</v>
      </c>
      <c r="C35" s="21">
        <v>0</v>
      </c>
      <c r="D35" s="21" t="s">
        <v>108</v>
      </c>
      <c r="E35" s="21" t="s">
        <v>125</v>
      </c>
      <c r="F35" s="21" t="s">
        <v>125</v>
      </c>
      <c r="G35" s="21" t="s">
        <v>60</v>
      </c>
      <c r="H35" s="20" t="s">
        <v>283</v>
      </c>
      <c r="I35" s="20" t="s">
        <v>318</v>
      </c>
      <c r="J35" s="20" t="s">
        <v>61</v>
      </c>
      <c r="K35" s="20" t="s">
        <v>62</v>
      </c>
      <c r="L35" s="21" t="s">
        <v>63</v>
      </c>
      <c r="M35" s="21" t="s">
        <v>64</v>
      </c>
      <c r="N35" s="20" t="s">
        <v>324</v>
      </c>
      <c r="O35" s="21">
        <v>0</v>
      </c>
      <c r="P35" s="21">
        <v>0</v>
      </c>
      <c r="Q35" s="21"/>
      <c r="R35" s="21"/>
      <c r="S35" s="21"/>
      <c r="T35" s="21"/>
      <c r="U35" s="21">
        <v>60</v>
      </c>
      <c r="V35" s="21"/>
      <c r="W35" s="21"/>
      <c r="X35" s="21"/>
      <c r="Y35" s="21"/>
      <c r="Z35" s="21"/>
      <c r="AA35" s="21" t="s">
        <v>110</v>
      </c>
      <c r="AB35" s="21"/>
      <c r="AC35" s="21"/>
      <c r="AD35" s="21"/>
      <c r="AE35" s="21"/>
      <c r="AF35" s="22">
        <v>3020019</v>
      </c>
      <c r="AG35" s="21"/>
      <c r="AH35" s="35"/>
      <c r="AI35" s="20"/>
    </row>
    <row r="36" spans="1:39" s="48" customFormat="1" ht="20.100000000000001" customHeight="1">
      <c r="A36" s="20" t="s">
        <v>325</v>
      </c>
      <c r="B36" s="21">
        <v>5</v>
      </c>
      <c r="C36" s="21">
        <v>0</v>
      </c>
      <c r="D36" s="21" t="s">
        <v>108</v>
      </c>
      <c r="E36" s="21" t="s">
        <v>326</v>
      </c>
      <c r="F36" s="21" t="s">
        <v>326</v>
      </c>
      <c r="G36" s="21" t="s">
        <v>60</v>
      </c>
      <c r="H36" s="20" t="s">
        <v>283</v>
      </c>
      <c r="I36" s="20" t="s">
        <v>318</v>
      </c>
      <c r="J36" s="20" t="s">
        <v>61</v>
      </c>
      <c r="K36" s="20" t="s">
        <v>62</v>
      </c>
      <c r="L36" s="21" t="s">
        <v>63</v>
      </c>
      <c r="M36" s="21" t="s">
        <v>64</v>
      </c>
      <c r="N36" s="20" t="s">
        <v>204</v>
      </c>
      <c r="O36" s="21">
        <v>0</v>
      </c>
      <c r="P36" s="21">
        <v>0</v>
      </c>
      <c r="Q36" s="21"/>
      <c r="R36" s="21"/>
      <c r="S36" s="21"/>
      <c r="T36" s="21"/>
      <c r="U36" s="21">
        <v>60</v>
      </c>
      <c r="V36" s="21"/>
      <c r="W36" s="21"/>
      <c r="X36" s="21"/>
      <c r="Y36" s="21"/>
      <c r="Z36" s="21"/>
      <c r="AA36" s="21" t="s">
        <v>110</v>
      </c>
      <c r="AB36" s="21"/>
      <c r="AC36" s="21"/>
      <c r="AD36" s="21"/>
      <c r="AE36" s="21"/>
      <c r="AF36" s="22">
        <v>3020020</v>
      </c>
      <c r="AG36" s="21"/>
      <c r="AH36" s="35"/>
      <c r="AI36" s="20"/>
    </row>
    <row r="37" spans="1:39" s="47" customFormat="1" ht="20.100000000000001" customHeight="1">
      <c r="A37" s="23" t="s">
        <v>126</v>
      </c>
      <c r="B37" s="24">
        <v>6</v>
      </c>
      <c r="C37" s="24">
        <v>0</v>
      </c>
      <c r="D37" s="23" t="s">
        <v>127</v>
      </c>
      <c r="E37" s="23" t="s">
        <v>207</v>
      </c>
      <c r="F37" s="23" t="s">
        <v>128</v>
      </c>
      <c r="G37" s="24" t="s">
        <v>60</v>
      </c>
      <c r="H37" s="23" t="s">
        <v>283</v>
      </c>
      <c r="I37" s="23" t="s">
        <v>318</v>
      </c>
      <c r="J37" s="23" t="s">
        <v>61</v>
      </c>
      <c r="K37" s="23" t="s">
        <v>62</v>
      </c>
      <c r="L37" s="24" t="s">
        <v>63</v>
      </c>
      <c r="M37" s="24" t="s">
        <v>64</v>
      </c>
      <c r="N37" s="23" t="s">
        <v>273</v>
      </c>
      <c r="O37" s="24">
        <v>0</v>
      </c>
      <c r="P37" s="24">
        <v>0</v>
      </c>
      <c r="Q37" s="24"/>
      <c r="R37" s="24"/>
      <c r="S37" s="24"/>
      <c r="T37" s="24"/>
      <c r="U37" s="24"/>
      <c r="V37" s="24">
        <v>1</v>
      </c>
      <c r="W37" s="24"/>
      <c r="X37" s="24"/>
      <c r="Y37" s="24"/>
      <c r="Z37" s="24"/>
      <c r="AA37" s="24" t="s">
        <v>65</v>
      </c>
      <c r="AB37" s="24"/>
      <c r="AC37" s="24"/>
      <c r="AD37" s="24"/>
      <c r="AE37" s="24"/>
      <c r="AF37" s="24">
        <v>3020002</v>
      </c>
      <c r="AG37" s="24"/>
      <c r="AH37" s="36"/>
      <c r="AI37" s="43"/>
    </row>
    <row r="38" spans="1:39" s="48" customFormat="1" ht="20.100000000000001" customHeight="1">
      <c r="A38" s="21">
        <v>107001</v>
      </c>
      <c r="B38" s="21">
        <v>7</v>
      </c>
      <c r="C38" s="21">
        <v>2</v>
      </c>
      <c r="D38" s="3" t="s">
        <v>129</v>
      </c>
      <c r="E38" s="21" t="s">
        <v>130</v>
      </c>
      <c r="F38" s="21" t="s">
        <v>131</v>
      </c>
      <c r="G38" s="21" t="s">
        <v>132</v>
      </c>
      <c r="H38" s="20" t="s">
        <v>283</v>
      </c>
      <c r="I38" s="20" t="s">
        <v>318</v>
      </c>
      <c r="J38" s="20" t="s">
        <v>327</v>
      </c>
      <c r="K38" s="20" t="s">
        <v>328</v>
      </c>
      <c r="L38" s="21" t="s">
        <v>63</v>
      </c>
      <c r="M38" s="21" t="s">
        <v>329</v>
      </c>
      <c r="N38" s="33" t="s">
        <v>273</v>
      </c>
      <c r="O38" s="21">
        <v>0</v>
      </c>
      <c r="P38" s="21">
        <v>0</v>
      </c>
      <c r="Q38" s="21"/>
      <c r="R38" s="21"/>
      <c r="S38" s="21"/>
      <c r="T38" s="21"/>
      <c r="U38" s="21"/>
      <c r="V38" s="21"/>
      <c r="W38" s="3">
        <v>3301</v>
      </c>
      <c r="X38" s="21">
        <v>1</v>
      </c>
      <c r="Y38" s="21">
        <v>9000</v>
      </c>
      <c r="Z38" s="21"/>
      <c r="AA38" s="21" t="s">
        <v>134</v>
      </c>
      <c r="AB38" s="21">
        <v>1</v>
      </c>
      <c r="AC38" s="21" t="s">
        <v>111</v>
      </c>
      <c r="AD38" s="21" t="str">
        <f>"世界BOSS活动已经开启，大家快来挑战"&amp;D38&amp;"，"&amp;E38</f>
        <v>世界BOSS活动已经开启，大家快来挑战世界BOSS莱布王，击杀世界BOSS将会获得丰厚奖励，金币多多，宝物多多</v>
      </c>
      <c r="AE38" s="21"/>
      <c r="AF38" s="21"/>
      <c r="AG38" s="21"/>
      <c r="AH38" s="2">
        <v>1202</v>
      </c>
      <c r="AI38" s="20"/>
    </row>
    <row r="39" spans="1:39" s="48" customFormat="1" ht="20.100000000000001" customHeight="1">
      <c r="A39" s="21">
        <v>107002</v>
      </c>
      <c r="B39" s="21">
        <v>7</v>
      </c>
      <c r="C39" s="21">
        <v>2</v>
      </c>
      <c r="D39" s="3" t="s">
        <v>135</v>
      </c>
      <c r="E39" s="21" t="s">
        <v>130</v>
      </c>
      <c r="F39" s="21" t="s">
        <v>131</v>
      </c>
      <c r="G39" s="21" t="s">
        <v>136</v>
      </c>
      <c r="H39" s="20" t="s">
        <v>283</v>
      </c>
      <c r="I39" s="20" t="s">
        <v>284</v>
      </c>
      <c r="J39" s="20" t="s">
        <v>285</v>
      </c>
      <c r="K39" s="20" t="s">
        <v>286</v>
      </c>
      <c r="L39" s="21" t="s">
        <v>63</v>
      </c>
      <c r="M39" s="21" t="s">
        <v>287</v>
      </c>
      <c r="N39" s="33" t="s">
        <v>288</v>
      </c>
      <c r="O39" s="21">
        <v>0</v>
      </c>
      <c r="P39" s="21">
        <v>0</v>
      </c>
      <c r="Q39" s="21"/>
      <c r="R39" s="21"/>
      <c r="S39" s="21"/>
      <c r="T39" s="21"/>
      <c r="U39" s="21"/>
      <c r="V39" s="21"/>
      <c r="W39" s="3">
        <v>3302</v>
      </c>
      <c r="X39" s="21">
        <v>1</v>
      </c>
      <c r="Y39" s="21">
        <v>9000</v>
      </c>
      <c r="Z39" s="21"/>
      <c r="AA39" s="21" t="s">
        <v>134</v>
      </c>
      <c r="AB39" s="21">
        <v>1</v>
      </c>
      <c r="AC39" s="21" t="s">
        <v>111</v>
      </c>
      <c r="AD39" s="21" t="str">
        <f t="shared" ref="AD39" si="0">"世界BOSS活动已经开启，大家快来挑战"&amp;D39&amp;"，"&amp;E39</f>
        <v>世界BOSS活动已经开启，大家快来挑战世界BOSS克洛德，击杀世界BOSS将会获得丰厚奖励，金币多多，宝物多多</v>
      </c>
      <c r="AE39" s="21"/>
      <c r="AF39" s="21"/>
      <c r="AG39" s="21"/>
      <c r="AH39" s="2">
        <v>1202</v>
      </c>
      <c r="AI39" s="20"/>
    </row>
    <row r="40" spans="1:39" s="48" customFormat="1" ht="20.100000000000001" customHeight="1">
      <c r="A40" s="14">
        <v>108001</v>
      </c>
      <c r="B40" s="14">
        <v>8</v>
      </c>
      <c r="C40" s="14">
        <v>1</v>
      </c>
      <c r="D40" s="14" t="s">
        <v>138</v>
      </c>
      <c r="E40" s="14" t="s">
        <v>139</v>
      </c>
      <c r="F40" s="14" t="s">
        <v>140</v>
      </c>
      <c r="G40" s="14" t="s">
        <v>60</v>
      </c>
      <c r="H40" s="11" t="s">
        <v>277</v>
      </c>
      <c r="I40" s="11" t="s">
        <v>289</v>
      </c>
      <c r="J40" s="13" t="s">
        <v>141</v>
      </c>
      <c r="K40" s="13" t="s">
        <v>137</v>
      </c>
      <c r="L40" s="14" t="s">
        <v>142</v>
      </c>
      <c r="M40" s="14" t="s">
        <v>143</v>
      </c>
      <c r="N40" s="13" t="s">
        <v>290</v>
      </c>
      <c r="O40" s="14">
        <v>0</v>
      </c>
      <c r="P40" s="14">
        <v>0</v>
      </c>
      <c r="Q40" s="14"/>
      <c r="R40" s="14"/>
      <c r="S40" s="14"/>
      <c r="T40" s="14"/>
      <c r="U40" s="14"/>
      <c r="V40" s="14"/>
      <c r="W40" s="14"/>
      <c r="X40" s="14"/>
      <c r="Y40" s="14">
        <v>9000</v>
      </c>
      <c r="Z40" s="14"/>
      <c r="AA40" s="14" t="s">
        <v>144</v>
      </c>
      <c r="AB40" s="14"/>
      <c r="AC40" s="14">
        <v>1</v>
      </c>
      <c r="AD40" s="14"/>
      <c r="AE40" s="14"/>
      <c r="AF40" s="14"/>
      <c r="AG40" s="14"/>
      <c r="AH40" s="34"/>
      <c r="AI40" s="20"/>
    </row>
    <row r="41" spans="1:39" s="48" customFormat="1" ht="20.100000000000001" customHeight="1">
      <c r="A41" s="21">
        <v>109001</v>
      </c>
      <c r="B41" s="21">
        <v>9</v>
      </c>
      <c r="C41" s="21">
        <v>0</v>
      </c>
      <c r="D41" s="21" t="s">
        <v>291</v>
      </c>
      <c r="E41" s="21" t="s">
        <v>292</v>
      </c>
      <c r="F41" s="21" t="s">
        <v>292</v>
      </c>
      <c r="G41" s="21" t="s">
        <v>60</v>
      </c>
      <c r="H41" s="20" t="s">
        <v>293</v>
      </c>
      <c r="I41" s="20" t="s">
        <v>294</v>
      </c>
      <c r="J41" s="20" t="s">
        <v>61</v>
      </c>
      <c r="K41" s="20" t="s">
        <v>62</v>
      </c>
      <c r="L41" s="21" t="s">
        <v>63</v>
      </c>
      <c r="M41" s="21" t="s">
        <v>64</v>
      </c>
      <c r="N41" s="33" t="s">
        <v>288</v>
      </c>
      <c r="O41" s="21">
        <v>0</v>
      </c>
      <c r="P41" s="21">
        <v>0</v>
      </c>
      <c r="Q41" s="21"/>
      <c r="R41" s="21"/>
      <c r="S41" s="21"/>
      <c r="T41" s="21"/>
      <c r="U41" s="21"/>
      <c r="V41" s="21"/>
      <c r="W41" s="21"/>
      <c r="X41" s="21"/>
      <c r="Y41" s="21">
        <v>7001</v>
      </c>
      <c r="Z41" s="21"/>
      <c r="AA41" s="21"/>
      <c r="AB41" s="21"/>
      <c r="AC41" s="21" t="s">
        <v>111</v>
      </c>
      <c r="AD41" s="21"/>
      <c r="AE41" s="21"/>
      <c r="AF41" s="21"/>
      <c r="AG41" s="21"/>
      <c r="AH41" s="2">
        <v>1212</v>
      </c>
      <c r="AI41" s="20"/>
    </row>
    <row r="42" spans="1:39" s="48" customFormat="1" ht="20.100000000000001" customHeight="1">
      <c r="A42" s="21">
        <v>110001</v>
      </c>
      <c r="B42" s="21">
        <v>10</v>
      </c>
      <c r="C42" s="21">
        <v>1</v>
      </c>
      <c r="D42" s="21" t="s">
        <v>295</v>
      </c>
      <c r="E42" s="21" t="s">
        <v>146</v>
      </c>
      <c r="F42" s="21" t="s">
        <v>147</v>
      </c>
      <c r="G42" s="21" t="s">
        <v>60</v>
      </c>
      <c r="H42" s="20" t="s">
        <v>283</v>
      </c>
      <c r="I42" s="20" t="s">
        <v>284</v>
      </c>
      <c r="J42" s="20" t="s">
        <v>145</v>
      </c>
      <c r="K42" s="20" t="s">
        <v>62</v>
      </c>
      <c r="L42" s="21" t="s">
        <v>63</v>
      </c>
      <c r="M42" s="21" t="s">
        <v>64</v>
      </c>
      <c r="N42" s="33" t="s">
        <v>288</v>
      </c>
      <c r="O42" s="21">
        <v>0</v>
      </c>
      <c r="P42" s="21">
        <v>0</v>
      </c>
      <c r="Q42" s="21" t="s">
        <v>296</v>
      </c>
      <c r="R42" s="21"/>
      <c r="S42" s="21"/>
      <c r="T42" s="21"/>
      <c r="U42" s="21"/>
      <c r="V42" s="21"/>
      <c r="W42" s="21"/>
      <c r="X42" s="21"/>
      <c r="Y42" s="21"/>
      <c r="Z42" s="21"/>
      <c r="AA42" s="21" t="s">
        <v>148</v>
      </c>
      <c r="AB42" s="21">
        <v>3</v>
      </c>
      <c r="AC42" s="21" t="s">
        <v>149</v>
      </c>
      <c r="AD42" s="21"/>
      <c r="AE42" s="21">
        <v>300</v>
      </c>
      <c r="AF42" s="21"/>
      <c r="AG42" s="21"/>
      <c r="AH42" s="37">
        <v>1206</v>
      </c>
      <c r="AI42" s="20"/>
    </row>
    <row r="43" spans="1:39" s="48" customFormat="1" ht="20.100000000000001" customHeight="1">
      <c r="A43" s="21">
        <v>111001</v>
      </c>
      <c r="B43" s="21">
        <v>11</v>
      </c>
      <c r="C43" s="21">
        <v>0</v>
      </c>
      <c r="D43" s="21" t="s">
        <v>150</v>
      </c>
      <c r="E43" s="21" t="s">
        <v>151</v>
      </c>
      <c r="F43" s="21" t="s">
        <v>152</v>
      </c>
      <c r="G43" s="21" t="s">
        <v>60</v>
      </c>
      <c r="H43" s="20" t="s">
        <v>283</v>
      </c>
      <c r="I43" s="20" t="s">
        <v>284</v>
      </c>
      <c r="J43" s="20" t="s">
        <v>145</v>
      </c>
      <c r="K43" s="20" t="s">
        <v>62</v>
      </c>
      <c r="L43" s="21" t="s">
        <v>63</v>
      </c>
      <c r="M43" s="21" t="s">
        <v>64</v>
      </c>
      <c r="N43" s="20" t="s">
        <v>288</v>
      </c>
      <c r="O43" s="21">
        <v>0</v>
      </c>
      <c r="P43" s="21">
        <v>0</v>
      </c>
      <c r="Q43" s="21"/>
      <c r="R43" s="21"/>
      <c r="S43" s="21"/>
      <c r="T43" s="21"/>
      <c r="U43" s="21"/>
      <c r="V43" s="21"/>
      <c r="W43" s="21"/>
      <c r="X43" s="21"/>
      <c r="Y43" s="21"/>
      <c r="Z43" s="21"/>
      <c r="AA43" s="21" t="s">
        <v>153</v>
      </c>
      <c r="AB43" s="21"/>
      <c r="AC43" s="21" t="s">
        <v>111</v>
      </c>
      <c r="AD43" s="21"/>
      <c r="AE43" s="21"/>
      <c r="AF43" s="21"/>
      <c r="AG43" s="21"/>
      <c r="AH43" s="35"/>
      <c r="AI43" s="20"/>
    </row>
    <row r="44" spans="1:39" s="48" customFormat="1" ht="20.100000000000001" customHeight="1">
      <c r="A44" s="21">
        <v>112001</v>
      </c>
      <c r="B44" s="25">
        <v>12</v>
      </c>
      <c r="C44" s="25">
        <v>0</v>
      </c>
      <c r="D44" s="21" t="s">
        <v>297</v>
      </c>
      <c r="E44" s="21" t="s">
        <v>154</v>
      </c>
      <c r="F44" s="21" t="s">
        <v>155</v>
      </c>
      <c r="G44" s="21" t="s">
        <v>156</v>
      </c>
      <c r="H44" s="20" t="s">
        <v>283</v>
      </c>
      <c r="I44" s="20" t="s">
        <v>284</v>
      </c>
      <c r="J44" s="20" t="s">
        <v>61</v>
      </c>
      <c r="K44" s="20" t="s">
        <v>62</v>
      </c>
      <c r="L44" s="21" t="s">
        <v>63</v>
      </c>
      <c r="M44" s="21" t="s">
        <v>64</v>
      </c>
      <c r="N44" s="33" t="s">
        <v>288</v>
      </c>
      <c r="O44" s="21">
        <v>0</v>
      </c>
      <c r="P44" s="21">
        <v>0</v>
      </c>
      <c r="Q44" s="21"/>
      <c r="R44" s="21"/>
      <c r="S44" s="21"/>
      <c r="T44" s="21"/>
      <c r="U44" s="21"/>
      <c r="V44" s="21"/>
      <c r="W44" s="21"/>
      <c r="X44" s="21"/>
      <c r="Y44" s="21">
        <v>7000</v>
      </c>
      <c r="Z44" s="21"/>
      <c r="AA44" s="21"/>
      <c r="AB44" s="21"/>
      <c r="AC44" s="21" t="s">
        <v>111</v>
      </c>
      <c r="AD44" s="21"/>
      <c r="AE44" s="21"/>
      <c r="AF44" s="21"/>
      <c r="AG44" s="21"/>
      <c r="AH44" s="1">
        <v>1109</v>
      </c>
      <c r="AI44" s="20"/>
    </row>
    <row r="45" spans="1:39" s="50" customFormat="1" ht="20.100000000000001" customHeight="1">
      <c r="A45" s="26">
        <v>113001</v>
      </c>
      <c r="B45" s="26">
        <v>13</v>
      </c>
      <c r="C45" s="26">
        <v>0</v>
      </c>
      <c r="D45" s="26" t="s">
        <v>157</v>
      </c>
      <c r="E45" s="26" t="s">
        <v>158</v>
      </c>
      <c r="F45" s="26" t="s">
        <v>158</v>
      </c>
      <c r="G45" s="26" t="s">
        <v>159</v>
      </c>
      <c r="H45" s="23" t="s">
        <v>283</v>
      </c>
      <c r="I45" s="23" t="s">
        <v>284</v>
      </c>
      <c r="J45" s="27" t="s">
        <v>145</v>
      </c>
      <c r="K45" s="27" t="s">
        <v>62</v>
      </c>
      <c r="L45" s="26" t="s">
        <v>63</v>
      </c>
      <c r="M45" s="26" t="s">
        <v>64</v>
      </c>
      <c r="N45" s="27" t="s">
        <v>298</v>
      </c>
      <c r="O45" s="26">
        <v>0</v>
      </c>
      <c r="P45" s="26">
        <v>0</v>
      </c>
      <c r="Q45" s="26"/>
      <c r="R45" s="26"/>
      <c r="S45" s="26"/>
      <c r="T45" s="26"/>
      <c r="U45" s="26"/>
      <c r="V45" s="26"/>
      <c r="W45" s="26"/>
      <c r="X45" s="26"/>
      <c r="Y45" s="26"/>
      <c r="Z45" s="26">
        <v>1</v>
      </c>
      <c r="AA45" s="26"/>
      <c r="AB45" s="26">
        <v>1</v>
      </c>
      <c r="AC45" s="26"/>
      <c r="AD45" s="28"/>
      <c r="AE45" s="28"/>
      <c r="AF45" s="28"/>
      <c r="AG45" s="28"/>
      <c r="AH45" s="38"/>
      <c r="AI45" s="20"/>
      <c r="AJ45" s="48"/>
      <c r="AK45" s="48"/>
      <c r="AL45" s="48"/>
      <c r="AM45" s="48"/>
    </row>
    <row r="46" spans="1:39" s="48" customFormat="1" ht="20.100000000000001" customHeight="1">
      <c r="A46" s="14">
        <v>113002</v>
      </c>
      <c r="B46" s="14">
        <v>13</v>
      </c>
      <c r="C46" s="14">
        <v>0</v>
      </c>
      <c r="D46" s="14" t="s">
        <v>160</v>
      </c>
      <c r="E46" s="14" t="s">
        <v>161</v>
      </c>
      <c r="F46" s="14" t="s">
        <v>158</v>
      </c>
      <c r="G46" s="14" t="s">
        <v>159</v>
      </c>
      <c r="H46" s="11" t="s">
        <v>299</v>
      </c>
      <c r="I46" s="11" t="s">
        <v>300</v>
      </c>
      <c r="J46" s="13" t="s">
        <v>145</v>
      </c>
      <c r="K46" s="13" t="s">
        <v>62</v>
      </c>
      <c r="L46" s="14" t="s">
        <v>63</v>
      </c>
      <c r="M46" s="14" t="s">
        <v>64</v>
      </c>
      <c r="N46" s="13" t="s">
        <v>298</v>
      </c>
      <c r="O46" s="14">
        <v>0</v>
      </c>
      <c r="P46" s="14">
        <v>0</v>
      </c>
      <c r="Q46" s="14"/>
      <c r="R46" s="14"/>
      <c r="S46" s="14"/>
      <c r="T46" s="14"/>
      <c r="U46" s="14"/>
      <c r="V46" s="14"/>
      <c r="W46" s="14"/>
      <c r="X46" s="14"/>
      <c r="Y46" s="14"/>
      <c r="Z46" s="14">
        <v>8</v>
      </c>
      <c r="AA46" s="14"/>
      <c r="AB46" s="14">
        <v>1</v>
      </c>
      <c r="AC46" s="14"/>
      <c r="AD46" s="14"/>
      <c r="AE46" s="14"/>
      <c r="AF46" s="14"/>
      <c r="AG46" s="14"/>
      <c r="AH46" s="34"/>
      <c r="AI46" s="20"/>
    </row>
    <row r="47" spans="1:39" s="50" customFormat="1" ht="20.100000000000001" customHeight="1">
      <c r="A47" s="26">
        <v>113003</v>
      </c>
      <c r="B47" s="26">
        <v>13</v>
      </c>
      <c r="C47" s="26">
        <v>0</v>
      </c>
      <c r="D47" s="26" t="s">
        <v>301</v>
      </c>
      <c r="E47" s="26" t="s">
        <v>302</v>
      </c>
      <c r="F47" s="26" t="s">
        <v>208</v>
      </c>
      <c r="G47" s="26" t="s">
        <v>159</v>
      </c>
      <c r="H47" s="39" t="s">
        <v>303</v>
      </c>
      <c r="I47" s="39" t="s">
        <v>304</v>
      </c>
      <c r="J47" s="27" t="s">
        <v>145</v>
      </c>
      <c r="K47" s="27" t="s">
        <v>62</v>
      </c>
      <c r="L47" s="26" t="s">
        <v>63</v>
      </c>
      <c r="M47" s="26" t="s">
        <v>64</v>
      </c>
      <c r="N47" s="27" t="s">
        <v>298</v>
      </c>
      <c r="O47" s="26">
        <v>0</v>
      </c>
      <c r="P47" s="26">
        <v>0</v>
      </c>
      <c r="Q47" s="26"/>
      <c r="R47" s="26"/>
      <c r="S47" s="26"/>
      <c r="T47" s="26"/>
      <c r="U47" s="26"/>
      <c r="V47" s="26"/>
      <c r="W47" s="26"/>
      <c r="X47" s="26"/>
      <c r="Y47" s="26"/>
      <c r="Z47" s="26">
        <v>9</v>
      </c>
      <c r="AA47" s="26"/>
      <c r="AB47" s="26">
        <v>1</v>
      </c>
      <c r="AC47" s="26"/>
      <c r="AD47" s="28"/>
      <c r="AE47" s="28"/>
      <c r="AF47" s="28"/>
      <c r="AG47" s="28"/>
      <c r="AH47" s="38"/>
      <c r="AI47" s="20"/>
      <c r="AJ47" s="48"/>
      <c r="AK47" s="48"/>
      <c r="AL47" s="48"/>
      <c r="AM47" s="48"/>
    </row>
    <row r="48" spans="1:39" s="48" customFormat="1" ht="20.100000000000001" customHeight="1">
      <c r="A48" s="20" t="s">
        <v>162</v>
      </c>
      <c r="B48" s="21">
        <v>14</v>
      </c>
      <c r="C48" s="21">
        <v>1</v>
      </c>
      <c r="D48" s="21" t="s">
        <v>305</v>
      </c>
      <c r="E48" s="21" t="s">
        <v>163</v>
      </c>
      <c r="F48" s="21" t="s">
        <v>164</v>
      </c>
      <c r="G48" s="21" t="s">
        <v>60</v>
      </c>
      <c r="H48" s="20" t="s">
        <v>283</v>
      </c>
      <c r="I48" s="20" t="s">
        <v>284</v>
      </c>
      <c r="J48" s="20" t="s">
        <v>61</v>
      </c>
      <c r="K48" s="20" t="s">
        <v>62</v>
      </c>
      <c r="L48" s="21" t="s">
        <v>63</v>
      </c>
      <c r="M48" s="21" t="s">
        <v>64</v>
      </c>
      <c r="N48" s="33" t="s">
        <v>288</v>
      </c>
      <c r="O48" s="21">
        <v>0</v>
      </c>
      <c r="P48" s="21">
        <v>0</v>
      </c>
      <c r="Q48" s="21" t="s">
        <v>296</v>
      </c>
      <c r="R48" s="21"/>
      <c r="S48" s="21"/>
      <c r="T48" s="21"/>
      <c r="U48" s="21"/>
      <c r="V48" s="21"/>
      <c r="W48" s="21"/>
      <c r="X48" s="21"/>
      <c r="Y48" s="21"/>
      <c r="Z48" s="21"/>
      <c r="AA48" s="21" t="s">
        <v>165</v>
      </c>
      <c r="AB48" s="21">
        <v>0</v>
      </c>
      <c r="AC48" s="21" t="s">
        <v>166</v>
      </c>
      <c r="AD48" s="21"/>
      <c r="AE48" s="21">
        <v>300</v>
      </c>
      <c r="AF48" s="21"/>
      <c r="AG48" s="21"/>
      <c r="AH48" s="2">
        <v>1112</v>
      </c>
      <c r="AI48" s="20"/>
    </row>
    <row r="49" spans="1:39" s="48" customFormat="1" ht="20.100000000000001" customHeight="1">
      <c r="A49" s="14">
        <v>115001</v>
      </c>
      <c r="B49" s="29">
        <v>15</v>
      </c>
      <c r="C49" s="29">
        <v>0</v>
      </c>
      <c r="D49" s="14" t="s">
        <v>306</v>
      </c>
      <c r="E49" s="14" t="s">
        <v>167</v>
      </c>
      <c r="F49" s="14" t="s">
        <v>168</v>
      </c>
      <c r="G49" s="14" t="s">
        <v>156</v>
      </c>
      <c r="H49" s="11" t="s">
        <v>299</v>
      </c>
      <c r="I49" s="11" t="s">
        <v>300</v>
      </c>
      <c r="J49" s="13" t="s">
        <v>61</v>
      </c>
      <c r="K49" s="13" t="s">
        <v>62</v>
      </c>
      <c r="L49" s="14" t="s">
        <v>63</v>
      </c>
      <c r="M49" s="14" t="s">
        <v>64</v>
      </c>
      <c r="N49" s="13" t="s">
        <v>307</v>
      </c>
      <c r="O49" s="14">
        <v>0</v>
      </c>
      <c r="P49" s="14">
        <v>0</v>
      </c>
      <c r="Q49" s="14">
        <v>5300</v>
      </c>
      <c r="R49" s="14"/>
      <c r="S49" s="14"/>
      <c r="T49" s="14"/>
      <c r="U49" s="14"/>
      <c r="V49" s="14"/>
      <c r="W49" s="14"/>
      <c r="X49" s="14"/>
      <c r="Y49" s="14"/>
      <c r="Z49" s="14"/>
      <c r="AA49" s="14"/>
      <c r="AB49" s="14"/>
      <c r="AC49" s="14" t="s">
        <v>111</v>
      </c>
      <c r="AD49" s="14"/>
      <c r="AE49" s="14"/>
      <c r="AF49" s="14"/>
      <c r="AG49" s="14"/>
      <c r="AH49" s="34"/>
      <c r="AI49" s="20"/>
    </row>
    <row r="50" spans="1:39" s="47" customFormat="1" ht="20.100000000000001" customHeight="1">
      <c r="A50" s="24">
        <v>116001</v>
      </c>
      <c r="B50" s="24">
        <v>16</v>
      </c>
      <c r="C50" s="24">
        <v>0</v>
      </c>
      <c r="D50" s="24" t="s">
        <v>308</v>
      </c>
      <c r="E50" s="24" t="s">
        <v>309</v>
      </c>
      <c r="F50" s="24" t="s">
        <v>209</v>
      </c>
      <c r="G50" s="24" t="s">
        <v>60</v>
      </c>
      <c r="H50" s="39" t="s">
        <v>303</v>
      </c>
      <c r="I50" s="39" t="s">
        <v>330</v>
      </c>
      <c r="J50" s="23" t="s">
        <v>145</v>
      </c>
      <c r="K50" s="23" t="s">
        <v>62</v>
      </c>
      <c r="L50" s="24" t="s">
        <v>63</v>
      </c>
      <c r="M50" s="24" t="s">
        <v>64</v>
      </c>
      <c r="N50" s="23" t="s">
        <v>331</v>
      </c>
      <c r="O50" s="24">
        <v>0</v>
      </c>
      <c r="P50" s="24">
        <v>0</v>
      </c>
      <c r="Q50" s="24"/>
      <c r="R50" s="24"/>
      <c r="S50" s="24"/>
      <c r="T50" s="24"/>
      <c r="U50" s="24"/>
      <c r="V50" s="24"/>
      <c r="W50" s="24"/>
      <c r="X50" s="24"/>
      <c r="Y50" s="24"/>
      <c r="Z50" s="24"/>
      <c r="AA50" s="24"/>
      <c r="AB50" s="24"/>
      <c r="AC50" s="24" t="s">
        <v>111</v>
      </c>
      <c r="AD50" s="24"/>
      <c r="AE50" s="24"/>
      <c r="AF50" s="24"/>
      <c r="AG50" s="24"/>
      <c r="AH50" s="36"/>
      <c r="AI50" s="43"/>
    </row>
    <row r="51" spans="1:39" s="49" customFormat="1" ht="20.100000000000001" customHeight="1">
      <c r="A51" s="11" t="s">
        <v>169</v>
      </c>
      <c r="B51" s="12">
        <v>17</v>
      </c>
      <c r="C51" s="12">
        <v>0</v>
      </c>
      <c r="D51" s="11" t="s">
        <v>170</v>
      </c>
      <c r="E51" s="11" t="s">
        <v>171</v>
      </c>
      <c r="F51" s="11" t="s">
        <v>171</v>
      </c>
      <c r="G51" s="12" t="s">
        <v>60</v>
      </c>
      <c r="H51" s="11" t="s">
        <v>299</v>
      </c>
      <c r="I51" s="11" t="s">
        <v>300</v>
      </c>
      <c r="J51" s="11" t="s">
        <v>61</v>
      </c>
      <c r="K51" s="11" t="s">
        <v>62</v>
      </c>
      <c r="L51" s="12" t="s">
        <v>63</v>
      </c>
      <c r="M51" s="12" t="s">
        <v>64</v>
      </c>
      <c r="N51" s="11" t="s">
        <v>310</v>
      </c>
      <c r="O51" s="12">
        <v>0</v>
      </c>
      <c r="P51" s="12">
        <v>0</v>
      </c>
      <c r="Q51" s="12"/>
      <c r="R51" s="12"/>
      <c r="S51" s="12"/>
      <c r="T51" s="12"/>
      <c r="U51" s="12"/>
      <c r="V51" s="12"/>
      <c r="W51" s="12"/>
      <c r="X51" s="12"/>
      <c r="Y51" s="12"/>
      <c r="Z51" s="12"/>
      <c r="AA51" s="12" t="s">
        <v>65</v>
      </c>
      <c r="AB51" s="12"/>
      <c r="AC51" s="12"/>
      <c r="AD51" s="12"/>
      <c r="AE51" s="12"/>
      <c r="AF51" s="12"/>
      <c r="AG51" s="30"/>
      <c r="AH51" s="30"/>
      <c r="AI51" s="33"/>
    </row>
    <row r="52" spans="1:39" s="50" customFormat="1" ht="20.100000000000001" customHeight="1">
      <c r="A52" s="11" t="s">
        <v>410</v>
      </c>
      <c r="B52" s="12">
        <v>17</v>
      </c>
      <c r="C52" s="12">
        <v>0</v>
      </c>
      <c r="D52" s="11" t="s">
        <v>311</v>
      </c>
      <c r="E52" s="11" t="s">
        <v>312</v>
      </c>
      <c r="F52" s="11" t="s">
        <v>171</v>
      </c>
      <c r="G52" s="12" t="s">
        <v>60</v>
      </c>
      <c r="H52" s="11" t="s">
        <v>299</v>
      </c>
      <c r="I52" s="11" t="s">
        <v>300</v>
      </c>
      <c r="J52" s="11" t="s">
        <v>61</v>
      </c>
      <c r="K52" s="11" t="s">
        <v>62</v>
      </c>
      <c r="L52" s="12" t="s">
        <v>63</v>
      </c>
      <c r="M52" s="12" t="s">
        <v>64</v>
      </c>
      <c r="N52" s="11" t="s">
        <v>310</v>
      </c>
      <c r="O52" s="12">
        <v>0</v>
      </c>
      <c r="P52" s="12">
        <v>0</v>
      </c>
      <c r="Q52" s="12"/>
      <c r="R52" s="12"/>
      <c r="S52" s="12"/>
      <c r="T52" s="12"/>
      <c r="U52" s="12"/>
      <c r="V52" s="12"/>
      <c r="W52" s="12"/>
      <c r="X52" s="12"/>
      <c r="Y52" s="12"/>
      <c r="Z52" s="12"/>
      <c r="AA52" s="12" t="s">
        <v>65</v>
      </c>
      <c r="AB52" s="12"/>
      <c r="AC52" s="12"/>
      <c r="AD52" s="12"/>
      <c r="AE52" s="12"/>
      <c r="AF52" s="12"/>
      <c r="AG52" s="30"/>
      <c r="AH52" s="30"/>
      <c r="AI52" s="20"/>
      <c r="AJ52" s="48"/>
      <c r="AK52" s="48"/>
      <c r="AL52" s="48"/>
      <c r="AM52" s="48"/>
    </row>
    <row r="53" spans="1:39" s="48" customFormat="1" ht="20.100000000000001" customHeight="1">
      <c r="A53" s="20" t="s">
        <v>172</v>
      </c>
      <c r="B53" s="21">
        <v>18</v>
      </c>
      <c r="C53" s="21">
        <v>1</v>
      </c>
      <c r="D53" s="21" t="s">
        <v>313</v>
      </c>
      <c r="E53" s="21" t="s">
        <v>173</v>
      </c>
      <c r="F53" s="21" t="s">
        <v>174</v>
      </c>
      <c r="G53" s="21" t="s">
        <v>314</v>
      </c>
      <c r="H53" s="20" t="s">
        <v>283</v>
      </c>
      <c r="I53" s="20" t="s">
        <v>284</v>
      </c>
      <c r="J53" s="20" t="s">
        <v>61</v>
      </c>
      <c r="K53" s="20" t="s">
        <v>62</v>
      </c>
      <c r="L53" s="21" t="s">
        <v>63</v>
      </c>
      <c r="M53" s="21" t="s">
        <v>64</v>
      </c>
      <c r="N53" s="33" t="s">
        <v>288</v>
      </c>
      <c r="O53" s="21">
        <v>0</v>
      </c>
      <c r="P53" s="21">
        <v>0</v>
      </c>
      <c r="Q53" s="21" t="s">
        <v>315</v>
      </c>
      <c r="R53" s="21"/>
      <c r="S53" s="21"/>
      <c r="T53" s="21"/>
      <c r="U53" s="21"/>
      <c r="V53" s="21"/>
      <c r="W53" s="21"/>
      <c r="X53" s="21"/>
      <c r="Y53" s="21"/>
      <c r="Z53" s="21"/>
      <c r="AA53" s="21" t="s">
        <v>165</v>
      </c>
      <c r="AB53" s="21">
        <v>2</v>
      </c>
      <c r="AC53" s="21" t="s">
        <v>166</v>
      </c>
      <c r="AD53" s="21"/>
      <c r="AE53" s="21">
        <v>300</v>
      </c>
      <c r="AF53" s="21"/>
      <c r="AG53" s="21"/>
      <c r="AH53" s="2">
        <v>1103</v>
      </c>
      <c r="AI53" s="20"/>
    </row>
    <row r="54" spans="1:39" s="48" customFormat="1" ht="20.100000000000001" customHeight="1">
      <c r="A54" s="20" t="s">
        <v>316</v>
      </c>
      <c r="B54" s="21">
        <v>18</v>
      </c>
      <c r="C54" s="21">
        <v>1</v>
      </c>
      <c r="D54" s="21" t="s">
        <v>317</v>
      </c>
      <c r="E54" s="21" t="s">
        <v>175</v>
      </c>
      <c r="F54" s="21" t="s">
        <v>332</v>
      </c>
      <c r="G54" s="21" t="s">
        <v>333</v>
      </c>
      <c r="H54" s="20" t="s">
        <v>283</v>
      </c>
      <c r="I54" s="20" t="s">
        <v>284</v>
      </c>
      <c r="J54" s="20" t="s">
        <v>61</v>
      </c>
      <c r="K54" s="20" t="s">
        <v>62</v>
      </c>
      <c r="L54" s="21" t="s">
        <v>63</v>
      </c>
      <c r="M54" s="21" t="s">
        <v>64</v>
      </c>
      <c r="N54" s="33" t="s">
        <v>288</v>
      </c>
      <c r="O54" s="21">
        <v>0</v>
      </c>
      <c r="P54" s="21">
        <v>0</v>
      </c>
      <c r="Q54" s="21" t="s">
        <v>334</v>
      </c>
      <c r="R54" s="21"/>
      <c r="S54" s="21"/>
      <c r="T54" s="21"/>
      <c r="U54" s="21"/>
      <c r="V54" s="21"/>
      <c r="W54" s="21"/>
      <c r="X54" s="21"/>
      <c r="Y54" s="21"/>
      <c r="Z54" s="21"/>
      <c r="AA54" s="21" t="s">
        <v>165</v>
      </c>
      <c r="AB54" s="21">
        <v>2</v>
      </c>
      <c r="AC54" s="21" t="s">
        <v>166</v>
      </c>
      <c r="AD54" s="21"/>
      <c r="AE54" s="21">
        <v>300</v>
      </c>
      <c r="AF54" s="21"/>
      <c r="AG54" s="21"/>
      <c r="AH54" s="2">
        <v>1106</v>
      </c>
      <c r="AI54" s="20"/>
    </row>
    <row r="55" spans="1:39" s="48" customFormat="1" ht="20.100000000000001" customHeight="1">
      <c r="A55" s="20" t="s">
        <v>335</v>
      </c>
      <c r="B55" s="21">
        <v>18</v>
      </c>
      <c r="C55" s="21">
        <v>1</v>
      </c>
      <c r="D55" s="21" t="s">
        <v>336</v>
      </c>
      <c r="E55" s="21" t="s">
        <v>175</v>
      </c>
      <c r="F55" s="21" t="s">
        <v>176</v>
      </c>
      <c r="G55" s="21" t="s">
        <v>337</v>
      </c>
      <c r="H55" s="20" t="s">
        <v>283</v>
      </c>
      <c r="I55" s="20" t="s">
        <v>284</v>
      </c>
      <c r="J55" s="20" t="s">
        <v>61</v>
      </c>
      <c r="K55" s="20" t="s">
        <v>62</v>
      </c>
      <c r="L55" s="21" t="s">
        <v>63</v>
      </c>
      <c r="M55" s="21" t="s">
        <v>64</v>
      </c>
      <c r="N55" s="33" t="s">
        <v>288</v>
      </c>
      <c r="O55" s="21">
        <v>0</v>
      </c>
      <c r="P55" s="21">
        <v>0</v>
      </c>
      <c r="Q55" s="21" t="s">
        <v>338</v>
      </c>
      <c r="R55" s="21"/>
      <c r="S55" s="21"/>
      <c r="T55" s="21"/>
      <c r="U55" s="21"/>
      <c r="V55" s="21"/>
      <c r="W55" s="21"/>
      <c r="X55" s="21"/>
      <c r="Y55" s="21"/>
      <c r="Z55" s="21"/>
      <c r="AA55" s="21" t="s">
        <v>165</v>
      </c>
      <c r="AB55" s="21">
        <v>2</v>
      </c>
      <c r="AC55" s="21" t="s">
        <v>166</v>
      </c>
      <c r="AD55" s="21"/>
      <c r="AE55" s="21">
        <v>300</v>
      </c>
      <c r="AF55" s="21"/>
      <c r="AG55" s="21"/>
      <c r="AH55" s="2">
        <v>1114</v>
      </c>
      <c r="AI55" s="20"/>
    </row>
    <row r="56" spans="1:39" s="48" customFormat="1" ht="20.100000000000001" customHeight="1">
      <c r="A56" s="20" t="s">
        <v>339</v>
      </c>
      <c r="B56" s="21">
        <v>18</v>
      </c>
      <c r="C56" s="21">
        <v>1</v>
      </c>
      <c r="D56" s="21" t="s">
        <v>340</v>
      </c>
      <c r="E56" s="21" t="s">
        <v>177</v>
      </c>
      <c r="F56" s="21" t="s">
        <v>341</v>
      </c>
      <c r="G56" s="21" t="s">
        <v>342</v>
      </c>
      <c r="H56" s="20" t="s">
        <v>283</v>
      </c>
      <c r="I56" s="20" t="s">
        <v>284</v>
      </c>
      <c r="J56" s="20" t="s">
        <v>61</v>
      </c>
      <c r="K56" s="20" t="s">
        <v>62</v>
      </c>
      <c r="L56" s="21" t="s">
        <v>63</v>
      </c>
      <c r="M56" s="21" t="s">
        <v>64</v>
      </c>
      <c r="N56" s="33" t="s">
        <v>210</v>
      </c>
      <c r="O56" s="21">
        <v>0</v>
      </c>
      <c r="P56" s="21">
        <v>0</v>
      </c>
      <c r="Q56" s="21" t="s">
        <v>178</v>
      </c>
      <c r="R56" s="21"/>
      <c r="S56" s="21"/>
      <c r="T56" s="21"/>
      <c r="U56" s="21"/>
      <c r="V56" s="21"/>
      <c r="W56" s="21"/>
      <c r="X56" s="21"/>
      <c r="Y56" s="21"/>
      <c r="Z56" s="21"/>
      <c r="AA56" s="21" t="s">
        <v>165</v>
      </c>
      <c r="AB56" s="21">
        <v>2</v>
      </c>
      <c r="AC56" s="21" t="s">
        <v>166</v>
      </c>
      <c r="AD56" s="21"/>
      <c r="AE56" s="21">
        <v>300</v>
      </c>
      <c r="AF56" s="21"/>
      <c r="AG56" s="21"/>
      <c r="AH56" s="2">
        <v>1113</v>
      </c>
      <c r="AI56" s="20"/>
    </row>
    <row r="57" spans="1:39" s="48" customFormat="1" ht="20.100000000000001" customHeight="1">
      <c r="A57" s="20" t="s">
        <v>179</v>
      </c>
      <c r="B57" s="21">
        <v>20</v>
      </c>
      <c r="C57" s="21">
        <v>1</v>
      </c>
      <c r="D57" s="21" t="s">
        <v>343</v>
      </c>
      <c r="E57" s="21" t="s">
        <v>180</v>
      </c>
      <c r="F57" s="21" t="s">
        <v>181</v>
      </c>
      <c r="G57" s="21" t="s">
        <v>60</v>
      </c>
      <c r="H57" s="20" t="s">
        <v>283</v>
      </c>
      <c r="I57" s="20" t="s">
        <v>284</v>
      </c>
      <c r="J57" s="20" t="s">
        <v>61</v>
      </c>
      <c r="K57" s="20" t="s">
        <v>62</v>
      </c>
      <c r="L57" s="21" t="s">
        <v>63</v>
      </c>
      <c r="M57" s="21" t="s">
        <v>64</v>
      </c>
      <c r="N57" s="33" t="s">
        <v>210</v>
      </c>
      <c r="O57" s="21">
        <v>0</v>
      </c>
      <c r="P57" s="21">
        <v>0</v>
      </c>
      <c r="Q57" s="21" t="s">
        <v>344</v>
      </c>
      <c r="R57" s="21"/>
      <c r="S57" s="21"/>
      <c r="T57" s="21"/>
      <c r="U57" s="21"/>
      <c r="V57" s="21"/>
      <c r="W57" s="21"/>
      <c r="X57" s="21"/>
      <c r="Y57" s="21"/>
      <c r="Z57" s="21"/>
      <c r="AA57" s="21" t="s">
        <v>165</v>
      </c>
      <c r="AB57" s="21">
        <v>0</v>
      </c>
      <c r="AC57" s="21" t="s">
        <v>166</v>
      </c>
      <c r="AD57" s="21"/>
      <c r="AE57" s="21"/>
      <c r="AF57" s="21"/>
      <c r="AG57" s="21"/>
      <c r="AH57" s="37">
        <v>1204</v>
      </c>
      <c r="AI57" s="20"/>
    </row>
    <row r="58" spans="1:39" s="50" customFormat="1" ht="20.100000000000001" customHeight="1">
      <c r="A58" s="27" t="s">
        <v>182</v>
      </c>
      <c r="B58" s="26">
        <v>21</v>
      </c>
      <c r="C58" s="26">
        <v>0</v>
      </c>
      <c r="D58" s="27" t="s">
        <v>345</v>
      </c>
      <c r="E58" s="27" t="s">
        <v>346</v>
      </c>
      <c r="F58" s="27" t="s">
        <v>347</v>
      </c>
      <c r="G58" s="26" t="s">
        <v>60</v>
      </c>
      <c r="H58" s="39" t="s">
        <v>348</v>
      </c>
      <c r="I58" s="39" t="s">
        <v>349</v>
      </c>
      <c r="J58" s="31" t="s">
        <v>61</v>
      </c>
      <c r="K58" s="31" t="s">
        <v>62</v>
      </c>
      <c r="L58" s="26" t="s">
        <v>63</v>
      </c>
      <c r="M58" s="26" t="s">
        <v>64</v>
      </c>
      <c r="N58" s="27" t="s">
        <v>288</v>
      </c>
      <c r="O58" s="26">
        <v>0</v>
      </c>
      <c r="P58" s="26">
        <v>0</v>
      </c>
      <c r="Q58" s="26"/>
      <c r="R58" s="26"/>
      <c r="S58" s="26"/>
      <c r="T58" s="26"/>
      <c r="U58" s="26"/>
      <c r="V58" s="26">
        <v>60</v>
      </c>
      <c r="W58" s="26"/>
      <c r="X58" s="26"/>
      <c r="Y58" s="26"/>
      <c r="Z58" s="26"/>
      <c r="AA58" s="26"/>
      <c r="AB58" s="26">
        <v>1</v>
      </c>
      <c r="AC58" s="26"/>
      <c r="AD58" s="28"/>
      <c r="AE58" s="28"/>
      <c r="AF58" s="28">
        <v>100060</v>
      </c>
      <c r="AG58" s="28"/>
      <c r="AH58" s="38"/>
      <c r="AI58" s="20"/>
      <c r="AJ58" s="48"/>
      <c r="AK58" s="48"/>
      <c r="AL58" s="48"/>
      <c r="AM58" s="48"/>
    </row>
    <row r="59" spans="1:39" s="51" customFormat="1" ht="20.100000000000001" customHeight="1">
      <c r="A59" s="14">
        <v>122001</v>
      </c>
      <c r="B59" s="14">
        <v>22</v>
      </c>
      <c r="C59" s="14">
        <v>0</v>
      </c>
      <c r="D59" s="14" t="s">
        <v>183</v>
      </c>
      <c r="E59" s="14" t="s">
        <v>183</v>
      </c>
      <c r="F59" s="14" t="s">
        <v>183</v>
      </c>
      <c r="G59" s="32" t="s">
        <v>60</v>
      </c>
      <c r="H59" s="11" t="s">
        <v>299</v>
      </c>
      <c r="I59" s="11" t="s">
        <v>300</v>
      </c>
      <c r="J59" s="13" t="s">
        <v>61</v>
      </c>
      <c r="K59" s="13" t="s">
        <v>62</v>
      </c>
      <c r="L59" s="32" t="s">
        <v>63</v>
      </c>
      <c r="M59" s="14" t="s">
        <v>64</v>
      </c>
      <c r="N59" s="15" t="s">
        <v>288</v>
      </c>
      <c r="O59" s="14">
        <v>1</v>
      </c>
      <c r="P59" s="14">
        <v>0</v>
      </c>
      <c r="Q59" s="14">
        <v>5603</v>
      </c>
      <c r="R59" s="14"/>
      <c r="S59" s="14"/>
      <c r="T59" s="14"/>
      <c r="U59" s="14"/>
      <c r="V59" s="14"/>
      <c r="W59" s="14"/>
      <c r="X59" s="14"/>
      <c r="Y59" s="14"/>
      <c r="Z59" s="14"/>
      <c r="AA59" s="14"/>
      <c r="AB59" s="14"/>
      <c r="AC59" s="14"/>
      <c r="AD59" s="14"/>
      <c r="AE59" s="14"/>
      <c r="AF59" s="14"/>
      <c r="AG59" s="14"/>
      <c r="AH59" s="34"/>
      <c r="AI59" s="13"/>
    </row>
    <row r="60" spans="1:39" s="51" customFormat="1" ht="20.100000000000001" customHeight="1">
      <c r="A60" s="14">
        <v>122002</v>
      </c>
      <c r="B60" s="14">
        <v>22</v>
      </c>
      <c r="C60" s="14">
        <v>0</v>
      </c>
      <c r="D60" s="14" t="s">
        <v>184</v>
      </c>
      <c r="E60" s="14" t="s">
        <v>184</v>
      </c>
      <c r="F60" s="14" t="s">
        <v>184</v>
      </c>
      <c r="G60" s="32" t="s">
        <v>60</v>
      </c>
      <c r="H60" s="11" t="s">
        <v>299</v>
      </c>
      <c r="I60" s="11" t="s">
        <v>300</v>
      </c>
      <c r="J60" s="13" t="s">
        <v>61</v>
      </c>
      <c r="K60" s="13" t="s">
        <v>62</v>
      </c>
      <c r="L60" s="32" t="s">
        <v>63</v>
      </c>
      <c r="M60" s="14" t="s">
        <v>64</v>
      </c>
      <c r="N60" s="15" t="s">
        <v>288</v>
      </c>
      <c r="O60" s="14">
        <v>1</v>
      </c>
      <c r="P60" s="14">
        <v>0</v>
      </c>
      <c r="Q60" s="14">
        <v>5606</v>
      </c>
      <c r="R60" s="14"/>
      <c r="S60" s="14"/>
      <c r="T60" s="14"/>
      <c r="U60" s="14"/>
      <c r="V60" s="14"/>
      <c r="W60" s="14"/>
      <c r="X60" s="14"/>
      <c r="Y60" s="14"/>
      <c r="Z60" s="14"/>
      <c r="AA60" s="14"/>
      <c r="AB60" s="14"/>
      <c r="AC60" s="14"/>
      <c r="AD60" s="14"/>
      <c r="AE60" s="14"/>
      <c r="AF60" s="14"/>
      <c r="AG60" s="14"/>
      <c r="AH60" s="34"/>
      <c r="AI60" s="13"/>
    </row>
    <row r="61" spans="1:39" s="51" customFormat="1" ht="20.100000000000001" customHeight="1">
      <c r="A61" s="14">
        <v>122003</v>
      </c>
      <c r="B61" s="14">
        <v>22</v>
      </c>
      <c r="C61" s="14">
        <v>0</v>
      </c>
      <c r="D61" s="14" t="s">
        <v>185</v>
      </c>
      <c r="E61" s="14" t="s">
        <v>185</v>
      </c>
      <c r="F61" s="14" t="s">
        <v>185</v>
      </c>
      <c r="G61" s="32" t="s">
        <v>60</v>
      </c>
      <c r="H61" s="11" t="s">
        <v>299</v>
      </c>
      <c r="I61" s="11" t="s">
        <v>300</v>
      </c>
      <c r="J61" s="13" t="s">
        <v>61</v>
      </c>
      <c r="K61" s="13" t="s">
        <v>62</v>
      </c>
      <c r="L61" s="32" t="s">
        <v>63</v>
      </c>
      <c r="M61" s="14" t="s">
        <v>64</v>
      </c>
      <c r="N61" s="15" t="s">
        <v>288</v>
      </c>
      <c r="O61" s="14">
        <v>1</v>
      </c>
      <c r="P61" s="14">
        <v>0</v>
      </c>
      <c r="Q61" s="14">
        <v>5609</v>
      </c>
      <c r="R61" s="14"/>
      <c r="S61" s="14"/>
      <c r="T61" s="14"/>
      <c r="U61" s="14"/>
      <c r="V61" s="14"/>
      <c r="W61" s="14"/>
      <c r="X61" s="14"/>
      <c r="Y61" s="14"/>
      <c r="Z61" s="14"/>
      <c r="AA61" s="14"/>
      <c r="AB61" s="14"/>
      <c r="AC61" s="14"/>
      <c r="AD61" s="14"/>
      <c r="AE61" s="14"/>
      <c r="AF61" s="14"/>
      <c r="AG61" s="14"/>
      <c r="AH61" s="34"/>
      <c r="AI61" s="13"/>
    </row>
    <row r="62" spans="1:39" s="51" customFormat="1" ht="20.100000000000001" customHeight="1">
      <c r="A62" s="14">
        <v>122004</v>
      </c>
      <c r="B62" s="14">
        <v>22</v>
      </c>
      <c r="C62" s="14">
        <v>0</v>
      </c>
      <c r="D62" s="14" t="s">
        <v>186</v>
      </c>
      <c r="E62" s="14" t="s">
        <v>186</v>
      </c>
      <c r="F62" s="14" t="s">
        <v>186</v>
      </c>
      <c r="G62" s="32" t="s">
        <v>60</v>
      </c>
      <c r="H62" s="11" t="s">
        <v>299</v>
      </c>
      <c r="I62" s="11" t="s">
        <v>300</v>
      </c>
      <c r="J62" s="13" t="s">
        <v>61</v>
      </c>
      <c r="K62" s="13" t="s">
        <v>62</v>
      </c>
      <c r="L62" s="32" t="s">
        <v>63</v>
      </c>
      <c r="M62" s="14" t="s">
        <v>64</v>
      </c>
      <c r="N62" s="15" t="s">
        <v>288</v>
      </c>
      <c r="O62" s="14">
        <v>1</v>
      </c>
      <c r="P62" s="14">
        <v>0</v>
      </c>
      <c r="Q62" s="14">
        <v>5612</v>
      </c>
      <c r="R62" s="14"/>
      <c r="S62" s="14"/>
      <c r="T62" s="14"/>
      <c r="U62" s="14"/>
      <c r="V62" s="14"/>
      <c r="W62" s="14"/>
      <c r="X62" s="14"/>
      <c r="Y62" s="14"/>
      <c r="Z62" s="14"/>
      <c r="AA62" s="14"/>
      <c r="AB62" s="14"/>
      <c r="AC62" s="14"/>
      <c r="AD62" s="14"/>
      <c r="AE62" s="14"/>
      <c r="AF62" s="14"/>
      <c r="AG62" s="14"/>
      <c r="AH62" s="34"/>
      <c r="AI62" s="13"/>
    </row>
    <row r="63" spans="1:39" s="52" customFormat="1" ht="20.100000000000001" customHeight="1">
      <c r="A63" s="12">
        <v>122005</v>
      </c>
      <c r="B63" s="12">
        <v>22</v>
      </c>
      <c r="C63" s="12">
        <v>0</v>
      </c>
      <c r="D63" s="12" t="s">
        <v>187</v>
      </c>
      <c r="E63" s="12" t="s">
        <v>187</v>
      </c>
      <c r="F63" s="12" t="s">
        <v>187</v>
      </c>
      <c r="G63" s="12" t="s">
        <v>60</v>
      </c>
      <c r="H63" s="11" t="s">
        <v>211</v>
      </c>
      <c r="I63" s="11" t="s">
        <v>212</v>
      </c>
      <c r="J63" s="11" t="s">
        <v>61</v>
      </c>
      <c r="K63" s="11" t="s">
        <v>62</v>
      </c>
      <c r="L63" s="12" t="s">
        <v>63</v>
      </c>
      <c r="M63" s="12" t="s">
        <v>64</v>
      </c>
      <c r="N63" s="11" t="s">
        <v>288</v>
      </c>
      <c r="O63" s="12">
        <v>1</v>
      </c>
      <c r="P63" s="12">
        <v>0</v>
      </c>
      <c r="Q63" s="12">
        <v>7030</v>
      </c>
      <c r="R63" s="12"/>
      <c r="S63" s="12"/>
      <c r="T63" s="12"/>
      <c r="U63" s="12"/>
      <c r="V63" s="12"/>
      <c r="W63" s="12"/>
      <c r="X63" s="12"/>
      <c r="Y63" s="12"/>
      <c r="Z63" s="12"/>
      <c r="AA63" s="12"/>
      <c r="AB63" s="12"/>
      <c r="AC63" s="12"/>
      <c r="AD63" s="12"/>
      <c r="AE63" s="12"/>
      <c r="AF63" s="12"/>
      <c r="AG63" s="12"/>
      <c r="AH63" s="30"/>
      <c r="AI63" s="11"/>
    </row>
    <row r="64" spans="1:39" s="52" customFormat="1" ht="20.100000000000001" customHeight="1">
      <c r="A64" s="12">
        <v>122006</v>
      </c>
      <c r="B64" s="12">
        <v>22</v>
      </c>
      <c r="C64" s="12">
        <v>0</v>
      </c>
      <c r="D64" s="12" t="s">
        <v>188</v>
      </c>
      <c r="E64" s="12" t="s">
        <v>188</v>
      </c>
      <c r="F64" s="12" t="s">
        <v>188</v>
      </c>
      <c r="G64" s="12" t="s">
        <v>60</v>
      </c>
      <c r="H64" s="11" t="s">
        <v>213</v>
      </c>
      <c r="I64" s="11" t="s">
        <v>214</v>
      </c>
      <c r="J64" s="11" t="s">
        <v>61</v>
      </c>
      <c r="K64" s="11" t="s">
        <v>62</v>
      </c>
      <c r="L64" s="12" t="s">
        <v>63</v>
      </c>
      <c r="M64" s="12" t="s">
        <v>64</v>
      </c>
      <c r="N64" s="11" t="s">
        <v>288</v>
      </c>
      <c r="O64" s="12">
        <v>1</v>
      </c>
      <c r="P64" s="12">
        <v>0</v>
      </c>
      <c r="Q64" s="12">
        <v>7130</v>
      </c>
      <c r="R64" s="12"/>
      <c r="S64" s="12"/>
      <c r="T64" s="12"/>
      <c r="U64" s="12"/>
      <c r="V64" s="12"/>
      <c r="W64" s="12"/>
      <c r="X64" s="12"/>
      <c r="Y64" s="12"/>
      <c r="Z64" s="12"/>
      <c r="AA64" s="12"/>
      <c r="AB64" s="12"/>
      <c r="AC64" s="12"/>
      <c r="AD64" s="12"/>
      <c r="AE64" s="12"/>
      <c r="AF64" s="12"/>
      <c r="AG64" s="12"/>
      <c r="AH64" s="30"/>
      <c r="AI64" s="11"/>
    </row>
    <row r="65" spans="1:61" s="52" customFormat="1" ht="20.100000000000001" customHeight="1">
      <c r="A65" s="12">
        <v>122007</v>
      </c>
      <c r="B65" s="12">
        <v>22</v>
      </c>
      <c r="C65" s="12">
        <v>0</v>
      </c>
      <c r="D65" s="12" t="s">
        <v>189</v>
      </c>
      <c r="E65" s="12" t="s">
        <v>189</v>
      </c>
      <c r="F65" s="12" t="s">
        <v>189</v>
      </c>
      <c r="G65" s="12" t="s">
        <v>60</v>
      </c>
      <c r="H65" s="11" t="s">
        <v>215</v>
      </c>
      <c r="I65" s="11" t="s">
        <v>216</v>
      </c>
      <c r="J65" s="11" t="s">
        <v>61</v>
      </c>
      <c r="K65" s="11" t="s">
        <v>62</v>
      </c>
      <c r="L65" s="12" t="s">
        <v>63</v>
      </c>
      <c r="M65" s="12" t="s">
        <v>64</v>
      </c>
      <c r="N65" s="11" t="s">
        <v>288</v>
      </c>
      <c r="O65" s="12">
        <v>1</v>
      </c>
      <c r="P65" s="12">
        <v>0</v>
      </c>
      <c r="Q65" s="12">
        <v>7230</v>
      </c>
      <c r="R65" s="12"/>
      <c r="S65" s="12"/>
      <c r="T65" s="12"/>
      <c r="U65" s="12"/>
      <c r="V65" s="12"/>
      <c r="W65" s="12"/>
      <c r="X65" s="12"/>
      <c r="Y65" s="12"/>
      <c r="Z65" s="12"/>
      <c r="AA65" s="12"/>
      <c r="AB65" s="12"/>
      <c r="AC65" s="12"/>
      <c r="AD65" s="12"/>
      <c r="AE65" s="12"/>
      <c r="AF65" s="12"/>
      <c r="AG65" s="12"/>
      <c r="AH65" s="30"/>
      <c r="AI65" s="11"/>
    </row>
    <row r="66" spans="1:61" s="52" customFormat="1" ht="20.100000000000001" customHeight="1">
      <c r="A66" s="12">
        <v>122008</v>
      </c>
      <c r="B66" s="12">
        <v>22</v>
      </c>
      <c r="C66" s="12">
        <v>0</v>
      </c>
      <c r="D66" s="12" t="s">
        <v>190</v>
      </c>
      <c r="E66" s="12" t="s">
        <v>190</v>
      </c>
      <c r="F66" s="12" t="s">
        <v>190</v>
      </c>
      <c r="G66" s="12" t="s">
        <v>60</v>
      </c>
      <c r="H66" s="11" t="s">
        <v>217</v>
      </c>
      <c r="I66" s="11" t="s">
        <v>218</v>
      </c>
      <c r="J66" s="11" t="s">
        <v>61</v>
      </c>
      <c r="K66" s="11" t="s">
        <v>62</v>
      </c>
      <c r="L66" s="12" t="s">
        <v>63</v>
      </c>
      <c r="M66" s="12" t="s">
        <v>64</v>
      </c>
      <c r="N66" s="11" t="s">
        <v>288</v>
      </c>
      <c r="O66" s="12">
        <v>1</v>
      </c>
      <c r="P66" s="12">
        <v>0</v>
      </c>
      <c r="Q66" s="12">
        <v>7330</v>
      </c>
      <c r="R66" s="12"/>
      <c r="S66" s="12"/>
      <c r="T66" s="12"/>
      <c r="U66" s="12"/>
      <c r="V66" s="12"/>
      <c r="W66" s="12"/>
      <c r="X66" s="12"/>
      <c r="Y66" s="12"/>
      <c r="Z66" s="12"/>
      <c r="AA66" s="12"/>
      <c r="AB66" s="12"/>
      <c r="AC66" s="12"/>
      <c r="AD66" s="12"/>
      <c r="AE66" s="12"/>
      <c r="AF66" s="12"/>
      <c r="AG66" s="12"/>
      <c r="AH66" s="30"/>
      <c r="AI66" s="11"/>
    </row>
    <row r="67" spans="1:61" s="52" customFormat="1" ht="20.100000000000001" customHeight="1">
      <c r="A67" s="12">
        <v>122009</v>
      </c>
      <c r="B67" s="12">
        <v>22</v>
      </c>
      <c r="C67" s="12">
        <v>0</v>
      </c>
      <c r="D67" s="12" t="s">
        <v>191</v>
      </c>
      <c r="E67" s="12" t="s">
        <v>191</v>
      </c>
      <c r="F67" s="12" t="s">
        <v>191</v>
      </c>
      <c r="G67" s="12" t="s">
        <v>60</v>
      </c>
      <c r="H67" s="11" t="s">
        <v>219</v>
      </c>
      <c r="I67" s="11" t="s">
        <v>220</v>
      </c>
      <c r="J67" s="11" t="s">
        <v>61</v>
      </c>
      <c r="K67" s="11" t="s">
        <v>62</v>
      </c>
      <c r="L67" s="12" t="s">
        <v>63</v>
      </c>
      <c r="M67" s="12" t="s">
        <v>64</v>
      </c>
      <c r="N67" s="11" t="s">
        <v>288</v>
      </c>
      <c r="O67" s="12">
        <v>1</v>
      </c>
      <c r="P67" s="12">
        <v>0</v>
      </c>
      <c r="Q67" s="12">
        <v>7430</v>
      </c>
      <c r="R67" s="12"/>
      <c r="S67" s="12"/>
      <c r="T67" s="12"/>
      <c r="U67" s="12"/>
      <c r="V67" s="12"/>
      <c r="W67" s="12"/>
      <c r="X67" s="12"/>
      <c r="Y67" s="12"/>
      <c r="Z67" s="12"/>
      <c r="AA67" s="12"/>
      <c r="AB67" s="12"/>
      <c r="AC67" s="12"/>
      <c r="AD67" s="12"/>
      <c r="AE67" s="12"/>
      <c r="AF67" s="12"/>
      <c r="AG67" s="12"/>
      <c r="AH67" s="30"/>
      <c r="AI67" s="11"/>
    </row>
    <row r="68" spans="1:61" s="52" customFormat="1" ht="20.100000000000001" customHeight="1">
      <c r="A68" s="12">
        <v>122010</v>
      </c>
      <c r="B68" s="12">
        <v>22</v>
      </c>
      <c r="C68" s="12">
        <v>0</v>
      </c>
      <c r="D68" s="12" t="s">
        <v>192</v>
      </c>
      <c r="E68" s="12" t="s">
        <v>192</v>
      </c>
      <c r="F68" s="12" t="s">
        <v>192</v>
      </c>
      <c r="G68" s="12" t="s">
        <v>60</v>
      </c>
      <c r="H68" s="11" t="s">
        <v>221</v>
      </c>
      <c r="I68" s="11" t="s">
        <v>222</v>
      </c>
      <c r="J68" s="11" t="s">
        <v>61</v>
      </c>
      <c r="K68" s="11" t="s">
        <v>62</v>
      </c>
      <c r="L68" s="12" t="s">
        <v>63</v>
      </c>
      <c r="M68" s="12" t="s">
        <v>64</v>
      </c>
      <c r="N68" s="11" t="s">
        <v>288</v>
      </c>
      <c r="O68" s="12">
        <v>1</v>
      </c>
      <c r="P68" s="12">
        <v>0</v>
      </c>
      <c r="Q68" s="12">
        <v>7530</v>
      </c>
      <c r="R68" s="12"/>
      <c r="S68" s="12"/>
      <c r="T68" s="12"/>
      <c r="U68" s="12"/>
      <c r="V68" s="12"/>
      <c r="W68" s="12"/>
      <c r="X68" s="12"/>
      <c r="Y68" s="12"/>
      <c r="Z68" s="12"/>
      <c r="AA68" s="12"/>
      <c r="AB68" s="12"/>
      <c r="AC68" s="12"/>
      <c r="AD68" s="12"/>
      <c r="AE68" s="12"/>
      <c r="AF68" s="12"/>
      <c r="AG68" s="12"/>
      <c r="AH68" s="30"/>
      <c r="AI68" s="11"/>
    </row>
    <row r="69" spans="1:61" s="49" customFormat="1" ht="20.100000000000001" customHeight="1">
      <c r="A69" s="22">
        <v>123001</v>
      </c>
      <c r="B69" s="22">
        <v>23</v>
      </c>
      <c r="C69" s="22">
        <v>0</v>
      </c>
      <c r="D69" s="22" t="s">
        <v>350</v>
      </c>
      <c r="E69" s="22" t="s">
        <v>351</v>
      </c>
      <c r="F69" s="22" t="s">
        <v>352</v>
      </c>
      <c r="G69" s="22" t="s">
        <v>159</v>
      </c>
      <c r="H69" s="20" t="s">
        <v>283</v>
      </c>
      <c r="I69" s="20" t="s">
        <v>284</v>
      </c>
      <c r="J69" s="33" t="s">
        <v>353</v>
      </c>
      <c r="K69" s="33" t="s">
        <v>354</v>
      </c>
      <c r="L69" s="22" t="s">
        <v>63</v>
      </c>
      <c r="M69" s="22" t="s">
        <v>133</v>
      </c>
      <c r="N69" s="33" t="s">
        <v>288</v>
      </c>
      <c r="O69" s="22">
        <v>0</v>
      </c>
      <c r="P69" s="22">
        <v>0</v>
      </c>
      <c r="Q69" s="22"/>
      <c r="R69" s="22"/>
      <c r="S69" s="22"/>
      <c r="T69" s="22"/>
      <c r="U69" s="22"/>
      <c r="V69" s="22"/>
      <c r="W69" s="22"/>
      <c r="X69" s="22"/>
      <c r="Y69" s="22"/>
      <c r="Z69" s="22"/>
      <c r="AA69" s="22"/>
      <c r="AB69" s="22">
        <v>1</v>
      </c>
      <c r="AC69" s="22"/>
      <c r="AD69" s="22"/>
      <c r="AE69" s="22"/>
      <c r="AF69" s="22">
        <v>3170000</v>
      </c>
      <c r="AG69" s="22"/>
      <c r="AH69" s="2"/>
      <c r="AI69" s="33"/>
    </row>
    <row r="70" spans="1:61" s="49" customFormat="1" ht="20.100000000000001" customHeight="1">
      <c r="A70" s="22">
        <v>123002</v>
      </c>
      <c r="B70" s="22">
        <v>23</v>
      </c>
      <c r="C70" s="22">
        <v>0</v>
      </c>
      <c r="D70" s="22" t="s">
        <v>350</v>
      </c>
      <c r="E70" s="22" t="s">
        <v>193</v>
      </c>
      <c r="F70" s="22" t="s">
        <v>352</v>
      </c>
      <c r="G70" s="22" t="s">
        <v>159</v>
      </c>
      <c r="H70" s="20" t="s">
        <v>283</v>
      </c>
      <c r="I70" s="20" t="s">
        <v>284</v>
      </c>
      <c r="J70" s="33" t="s">
        <v>319</v>
      </c>
      <c r="K70" s="33" t="s">
        <v>355</v>
      </c>
      <c r="L70" s="22" t="s">
        <v>63</v>
      </c>
      <c r="M70" s="22" t="s">
        <v>133</v>
      </c>
      <c r="N70" s="33" t="s">
        <v>288</v>
      </c>
      <c r="O70" s="22">
        <v>0</v>
      </c>
      <c r="P70" s="22">
        <v>0</v>
      </c>
      <c r="Q70" s="22"/>
      <c r="R70" s="22"/>
      <c r="S70" s="22"/>
      <c r="T70" s="22"/>
      <c r="U70" s="22"/>
      <c r="V70" s="22"/>
      <c r="W70" s="22"/>
      <c r="X70" s="22"/>
      <c r="Y70" s="22"/>
      <c r="Z70" s="22"/>
      <c r="AA70" s="22"/>
      <c r="AB70" s="22">
        <v>1</v>
      </c>
      <c r="AC70" s="22"/>
      <c r="AD70" s="22"/>
      <c r="AE70" s="22"/>
      <c r="AF70" s="22">
        <v>3170000</v>
      </c>
      <c r="AG70" s="22"/>
      <c r="AH70" s="2"/>
      <c r="AI70" s="33"/>
    </row>
    <row r="71" spans="1:61" s="49" customFormat="1" ht="20.100000000000001" customHeight="1">
      <c r="A71" s="22">
        <v>123003</v>
      </c>
      <c r="B71" s="22">
        <v>23</v>
      </c>
      <c r="C71" s="22">
        <v>0</v>
      </c>
      <c r="D71" s="22" t="s">
        <v>350</v>
      </c>
      <c r="E71" s="22" t="s">
        <v>193</v>
      </c>
      <c r="F71" s="22" t="s">
        <v>352</v>
      </c>
      <c r="G71" s="22" t="s">
        <v>159</v>
      </c>
      <c r="H71" s="20" t="s">
        <v>283</v>
      </c>
      <c r="I71" s="20" t="s">
        <v>284</v>
      </c>
      <c r="J71" s="33" t="s">
        <v>356</v>
      </c>
      <c r="K71" s="33" t="s">
        <v>357</v>
      </c>
      <c r="L71" s="22" t="s">
        <v>63</v>
      </c>
      <c r="M71" s="22" t="s">
        <v>133</v>
      </c>
      <c r="N71" s="33" t="s">
        <v>288</v>
      </c>
      <c r="O71" s="22">
        <v>0</v>
      </c>
      <c r="P71" s="22">
        <v>0</v>
      </c>
      <c r="Q71" s="22"/>
      <c r="R71" s="22"/>
      <c r="S71" s="22"/>
      <c r="T71" s="22"/>
      <c r="U71" s="22"/>
      <c r="V71" s="22"/>
      <c r="W71" s="22"/>
      <c r="X71" s="22"/>
      <c r="Y71" s="22"/>
      <c r="Z71" s="22"/>
      <c r="AA71" s="22"/>
      <c r="AB71" s="22">
        <v>1</v>
      </c>
      <c r="AC71" s="22"/>
      <c r="AD71" s="22"/>
      <c r="AE71" s="22"/>
      <c r="AF71" s="22">
        <v>3170000</v>
      </c>
      <c r="AG71" s="22"/>
      <c r="AH71" s="2"/>
      <c r="AI71" s="33" t="s">
        <v>358</v>
      </c>
    </row>
    <row r="72" spans="1:61" s="50" customFormat="1" ht="20.100000000000001" customHeight="1">
      <c r="A72" s="27" t="s">
        <v>359</v>
      </c>
      <c r="B72" s="26">
        <v>24</v>
      </c>
      <c r="C72" s="26">
        <v>0</v>
      </c>
      <c r="D72" s="27" t="s">
        <v>360</v>
      </c>
      <c r="E72" s="24" t="s">
        <v>361</v>
      </c>
      <c r="F72" s="27" t="s">
        <v>362</v>
      </c>
      <c r="G72" s="26" t="s">
        <v>60</v>
      </c>
      <c r="H72" s="23" t="s">
        <v>283</v>
      </c>
      <c r="I72" s="23" t="s">
        <v>284</v>
      </c>
      <c r="J72" s="27" t="s">
        <v>61</v>
      </c>
      <c r="K72" s="27" t="s">
        <v>62</v>
      </c>
      <c r="L72" s="26" t="s">
        <v>63</v>
      </c>
      <c r="M72" s="26" t="s">
        <v>64</v>
      </c>
      <c r="N72" s="27" t="s">
        <v>288</v>
      </c>
      <c r="O72" s="26">
        <v>1</v>
      </c>
      <c r="P72" s="26">
        <v>0</v>
      </c>
      <c r="Q72" s="26"/>
      <c r="R72" s="26"/>
      <c r="S72" s="26"/>
      <c r="T72" s="26"/>
      <c r="U72" s="26"/>
      <c r="V72" s="26"/>
      <c r="W72" s="26"/>
      <c r="X72" s="26"/>
      <c r="Y72" s="26"/>
      <c r="Z72" s="26">
        <v>2</v>
      </c>
      <c r="AA72" s="26" t="s">
        <v>65</v>
      </c>
      <c r="AB72" s="26"/>
      <c r="AC72" s="26"/>
      <c r="AD72" s="28"/>
      <c r="AE72" s="28"/>
      <c r="AF72" s="26">
        <v>206480</v>
      </c>
      <c r="AG72" s="28"/>
      <c r="AH72" s="38"/>
      <c r="AI72" s="20"/>
      <c r="AJ72" s="48"/>
      <c r="AK72" s="48"/>
      <c r="AL72" s="48"/>
      <c r="AM72" s="48"/>
    </row>
    <row r="73" spans="1:61" s="50" customFormat="1" ht="20.100000000000001" customHeight="1">
      <c r="A73" s="27" t="s">
        <v>205</v>
      </c>
      <c r="B73" s="26">
        <v>24</v>
      </c>
      <c r="C73" s="26">
        <v>0</v>
      </c>
      <c r="D73" s="27" t="s">
        <v>360</v>
      </c>
      <c r="E73" s="24" t="s">
        <v>363</v>
      </c>
      <c r="F73" s="27" t="s">
        <v>362</v>
      </c>
      <c r="G73" s="26" t="s">
        <v>60</v>
      </c>
      <c r="H73" s="23" t="s">
        <v>283</v>
      </c>
      <c r="I73" s="23" t="s">
        <v>284</v>
      </c>
      <c r="J73" s="27" t="s">
        <v>61</v>
      </c>
      <c r="K73" s="27" t="s">
        <v>62</v>
      </c>
      <c r="L73" s="26" t="s">
        <v>63</v>
      </c>
      <c r="M73" s="26" t="s">
        <v>64</v>
      </c>
      <c r="N73" s="27" t="s">
        <v>288</v>
      </c>
      <c r="O73" s="26">
        <v>1</v>
      </c>
      <c r="P73" s="26">
        <v>0</v>
      </c>
      <c r="Q73" s="26"/>
      <c r="R73" s="26"/>
      <c r="S73" s="26"/>
      <c r="T73" s="26"/>
      <c r="U73" s="26"/>
      <c r="V73" s="26"/>
      <c r="W73" s="26"/>
      <c r="X73" s="26"/>
      <c r="Y73" s="26"/>
      <c r="Z73" s="26">
        <v>4</v>
      </c>
      <c r="AA73" s="26" t="s">
        <v>65</v>
      </c>
      <c r="AB73" s="26"/>
      <c r="AC73" s="26"/>
      <c r="AD73" s="28"/>
      <c r="AE73" s="28"/>
      <c r="AF73" s="26">
        <v>201980</v>
      </c>
      <c r="AG73" s="28"/>
      <c r="AH73" s="38"/>
      <c r="AI73" s="20"/>
      <c r="AJ73" s="48"/>
      <c r="AK73" s="48"/>
      <c r="AL73" s="48"/>
      <c r="AM73" s="48"/>
    </row>
    <row r="74" spans="1:61" s="50" customFormat="1" ht="20.100000000000001" customHeight="1">
      <c r="A74" s="27" t="s">
        <v>206</v>
      </c>
      <c r="B74" s="26">
        <v>24</v>
      </c>
      <c r="C74" s="26">
        <v>0</v>
      </c>
      <c r="D74" s="27" t="s">
        <v>360</v>
      </c>
      <c r="E74" s="24" t="s">
        <v>364</v>
      </c>
      <c r="F74" s="27" t="s">
        <v>362</v>
      </c>
      <c r="G74" s="26" t="s">
        <v>60</v>
      </c>
      <c r="H74" s="23" t="s">
        <v>283</v>
      </c>
      <c r="I74" s="23" t="s">
        <v>284</v>
      </c>
      <c r="J74" s="27" t="s">
        <v>61</v>
      </c>
      <c r="K74" s="27" t="s">
        <v>62</v>
      </c>
      <c r="L74" s="26" t="s">
        <v>63</v>
      </c>
      <c r="M74" s="26" t="s">
        <v>64</v>
      </c>
      <c r="N74" s="27" t="s">
        <v>288</v>
      </c>
      <c r="O74" s="26">
        <v>1</v>
      </c>
      <c r="P74" s="26">
        <v>0</v>
      </c>
      <c r="Q74" s="26"/>
      <c r="R74" s="26"/>
      <c r="S74" s="26"/>
      <c r="T74" s="26"/>
      <c r="U74" s="26"/>
      <c r="V74" s="26"/>
      <c r="W74" s="26"/>
      <c r="X74" s="26"/>
      <c r="Y74" s="26"/>
      <c r="Z74" s="26">
        <v>6</v>
      </c>
      <c r="AA74" s="26" t="s">
        <v>65</v>
      </c>
      <c r="AB74" s="26"/>
      <c r="AC74" s="26"/>
      <c r="AD74" s="28"/>
      <c r="AE74" s="28"/>
      <c r="AF74" s="26">
        <v>200300</v>
      </c>
      <c r="AG74" s="28"/>
      <c r="AH74" s="38"/>
      <c r="AI74" s="20"/>
      <c r="AJ74" s="48"/>
      <c r="AK74" s="48"/>
      <c r="AL74" s="48"/>
      <c r="AM74" s="48"/>
    </row>
    <row r="78" spans="1:61" s="77" customFormat="1" ht="20.100000000000001" customHeight="1">
      <c r="A78" s="40" t="s">
        <v>628</v>
      </c>
      <c r="B78" s="41">
        <v>1</v>
      </c>
      <c r="C78" s="41">
        <v>2</v>
      </c>
      <c r="D78" s="55" t="s">
        <v>629</v>
      </c>
      <c r="E78" s="40" t="s">
        <v>630</v>
      </c>
      <c r="F78" s="57" t="s">
        <v>631</v>
      </c>
      <c r="G78" s="112" t="s">
        <v>60</v>
      </c>
      <c r="H78" s="40" t="s">
        <v>515</v>
      </c>
      <c r="I78" s="40" t="s">
        <v>515</v>
      </c>
      <c r="J78" s="40" t="s">
        <v>516</v>
      </c>
      <c r="K78" s="40" t="s">
        <v>516</v>
      </c>
      <c r="L78" s="40" t="s">
        <v>1023</v>
      </c>
      <c r="M78" s="40" t="s">
        <v>61</v>
      </c>
      <c r="N78" s="40" t="s">
        <v>61</v>
      </c>
      <c r="O78" s="41" t="s">
        <v>63</v>
      </c>
      <c r="P78" s="41" t="s">
        <v>64</v>
      </c>
      <c r="Q78" s="40" t="s">
        <v>210</v>
      </c>
      <c r="R78" s="42"/>
      <c r="S78" s="40"/>
      <c r="T78" s="41"/>
      <c r="U78" s="41">
        <v>1</v>
      </c>
      <c r="V78" s="41">
        <v>0</v>
      </c>
      <c r="W78" s="41"/>
      <c r="X78" s="41" t="s">
        <v>65</v>
      </c>
      <c r="Y78" s="41"/>
      <c r="Z78" s="41"/>
      <c r="AA78" s="41"/>
      <c r="AB78" s="113" t="str">
        <f t="shared" ref="AB78:AB89" si="1">CONCATENATE(AW78,BG78,AX78,BG78,AY78,BG78,AZ78,BG78,BA78,BG78,BB78,BG78,BC78,BG78,BD78,BG78,BE78,BG78,BF78)</f>
        <v>;;;;;;;3170000:1|2040003:1|2050003:1;;</v>
      </c>
      <c r="AC78" s="113">
        <v>360</v>
      </c>
      <c r="AD78" s="90"/>
      <c r="AE78" s="41"/>
      <c r="AF78" s="41"/>
      <c r="AG78" s="41"/>
      <c r="AH78" s="41"/>
      <c r="AI78" s="55">
        <v>360</v>
      </c>
      <c r="AJ78" s="41"/>
      <c r="AK78" s="41"/>
      <c r="AL78" s="41"/>
      <c r="AM78" s="90"/>
      <c r="AN78" s="90"/>
      <c r="AO78" s="90"/>
      <c r="AP78" s="90"/>
      <c r="AQ78" s="90"/>
      <c r="AR78" s="90"/>
      <c r="AS78" s="90"/>
      <c r="AT78" s="62"/>
      <c r="AU78" s="62"/>
      <c r="AV78" s="62"/>
      <c r="AW78" s="90"/>
      <c r="AX78" s="90"/>
      <c r="AY78" s="90"/>
      <c r="AZ78" s="91"/>
      <c r="BA78" s="91"/>
      <c r="BB78" s="91"/>
      <c r="BC78" s="91"/>
      <c r="BD78" s="91" t="s">
        <v>632</v>
      </c>
      <c r="BE78" s="91"/>
      <c r="BF78" s="91"/>
      <c r="BG78" s="91" t="s">
        <v>633</v>
      </c>
      <c r="BH78" s="91">
        <v>3020210</v>
      </c>
      <c r="BI78" s="80"/>
    </row>
    <row r="79" spans="1:61" s="77" customFormat="1" ht="20.100000000000001" customHeight="1">
      <c r="A79" s="40" t="s">
        <v>634</v>
      </c>
      <c r="B79" s="41">
        <v>1</v>
      </c>
      <c r="C79" s="41">
        <v>2</v>
      </c>
      <c r="D79" s="55" t="s">
        <v>629</v>
      </c>
      <c r="E79" s="40" t="s">
        <v>630</v>
      </c>
      <c r="F79" s="57" t="s">
        <v>635</v>
      </c>
      <c r="G79" s="112" t="s">
        <v>60</v>
      </c>
      <c r="H79" s="40" t="s">
        <v>515</v>
      </c>
      <c r="I79" s="40" t="s">
        <v>515</v>
      </c>
      <c r="J79" s="40" t="s">
        <v>516</v>
      </c>
      <c r="K79" s="40" t="s">
        <v>516</v>
      </c>
      <c r="L79" s="40" t="s">
        <v>517</v>
      </c>
      <c r="M79" s="40" t="s">
        <v>61</v>
      </c>
      <c r="N79" s="40" t="s">
        <v>61</v>
      </c>
      <c r="O79" s="41" t="s">
        <v>63</v>
      </c>
      <c r="P79" s="41" t="s">
        <v>64</v>
      </c>
      <c r="Q79" s="40" t="s">
        <v>210</v>
      </c>
      <c r="R79" s="42"/>
      <c r="S79" s="40"/>
      <c r="T79" s="41"/>
      <c r="U79" s="41">
        <v>1</v>
      </c>
      <c r="V79" s="41">
        <v>0</v>
      </c>
      <c r="W79" s="41"/>
      <c r="X79" s="41" t="s">
        <v>65</v>
      </c>
      <c r="Y79" s="41"/>
      <c r="Z79" s="41"/>
      <c r="AA79" s="41"/>
      <c r="AB79" s="113" t="str">
        <f t="shared" si="1"/>
        <v>;;500;;;;;4040007:20|3090200:300|3160100:200;;</v>
      </c>
      <c r="AC79" s="113">
        <v>1280</v>
      </c>
      <c r="AD79" s="90"/>
      <c r="AE79" s="41"/>
      <c r="AF79" s="41"/>
      <c r="AG79" s="41"/>
      <c r="AH79" s="41"/>
      <c r="AI79" s="55">
        <v>1280</v>
      </c>
      <c r="AJ79" s="41"/>
      <c r="AK79" s="41"/>
      <c r="AL79" s="41"/>
      <c r="AM79" s="90"/>
      <c r="AN79" s="90"/>
      <c r="AO79" s="90"/>
      <c r="AP79" s="90"/>
      <c r="AQ79" s="90"/>
      <c r="AR79" s="90"/>
      <c r="AS79" s="90"/>
      <c r="AT79" s="62"/>
      <c r="AU79" s="62"/>
      <c r="AV79" s="62"/>
      <c r="AW79" s="90"/>
      <c r="AX79" s="90"/>
      <c r="AY79" s="90">
        <v>500</v>
      </c>
      <c r="AZ79" s="91"/>
      <c r="BA79" s="91"/>
      <c r="BB79" s="91"/>
      <c r="BC79" s="91"/>
      <c r="BD79" s="91" t="s">
        <v>636</v>
      </c>
      <c r="BE79" s="91"/>
      <c r="BF79" s="91"/>
      <c r="BG79" s="91" t="s">
        <v>633</v>
      </c>
      <c r="BH79" s="91">
        <v>3020211</v>
      </c>
      <c r="BI79" s="80"/>
    </row>
    <row r="80" spans="1:61" s="77" customFormat="1" ht="20.100000000000001" customHeight="1">
      <c r="A80" s="40" t="s">
        <v>637</v>
      </c>
      <c r="B80" s="41">
        <v>1</v>
      </c>
      <c r="C80" s="41">
        <v>2</v>
      </c>
      <c r="D80" s="55" t="s">
        <v>629</v>
      </c>
      <c r="E80" s="40" t="s">
        <v>630</v>
      </c>
      <c r="F80" s="57" t="s">
        <v>638</v>
      </c>
      <c r="G80" s="112" t="s">
        <v>60</v>
      </c>
      <c r="H80" s="40" t="s">
        <v>515</v>
      </c>
      <c r="I80" s="40" t="s">
        <v>515</v>
      </c>
      <c r="J80" s="40" t="s">
        <v>516</v>
      </c>
      <c r="K80" s="40" t="s">
        <v>516</v>
      </c>
      <c r="L80" s="40" t="s">
        <v>517</v>
      </c>
      <c r="M80" s="40" t="s">
        <v>61</v>
      </c>
      <c r="N80" s="40" t="s">
        <v>61</v>
      </c>
      <c r="O80" s="41" t="s">
        <v>63</v>
      </c>
      <c r="P80" s="41" t="s">
        <v>64</v>
      </c>
      <c r="Q80" s="40" t="s">
        <v>210</v>
      </c>
      <c r="R80" s="42"/>
      <c r="S80" s="40"/>
      <c r="T80" s="41"/>
      <c r="U80" s="41">
        <v>1</v>
      </c>
      <c r="V80" s="41">
        <v>0</v>
      </c>
      <c r="W80" s="41"/>
      <c r="X80" s="41" t="s">
        <v>65</v>
      </c>
      <c r="Y80" s="41"/>
      <c r="Z80" s="41"/>
      <c r="AA80" s="41"/>
      <c r="AB80" s="113" t="str">
        <f t="shared" si="1"/>
        <v>500000;;;;;;;4010000:30|3170000:2|3120100:20;;</v>
      </c>
      <c r="AC80" s="113">
        <v>3280</v>
      </c>
      <c r="AD80" s="90"/>
      <c r="AE80" s="41"/>
      <c r="AF80" s="41"/>
      <c r="AG80" s="41"/>
      <c r="AH80" s="41"/>
      <c r="AI80" s="55">
        <v>3280</v>
      </c>
      <c r="AJ80" s="41"/>
      <c r="AK80" s="41"/>
      <c r="AL80" s="41"/>
      <c r="AM80" s="90"/>
      <c r="AN80" s="90"/>
      <c r="AO80" s="90"/>
      <c r="AP80" s="90"/>
      <c r="AQ80" s="90"/>
      <c r="AR80" s="90"/>
      <c r="AS80" s="90"/>
      <c r="AT80" s="62"/>
      <c r="AU80" s="62"/>
      <c r="AV80" s="62"/>
      <c r="AW80" s="90">
        <v>500000</v>
      </c>
      <c r="AX80" s="90"/>
      <c r="AY80" s="90"/>
      <c r="AZ80" s="91"/>
      <c r="BA80" s="91"/>
      <c r="BB80" s="91"/>
      <c r="BC80" s="91"/>
      <c r="BD80" s="91" t="s">
        <v>639</v>
      </c>
      <c r="BE80" s="91"/>
      <c r="BF80" s="91"/>
      <c r="BG80" s="91" t="s">
        <v>633</v>
      </c>
      <c r="BH80" s="91">
        <v>3020212</v>
      </c>
      <c r="BI80" s="80"/>
    </row>
    <row r="81" spans="1:61" s="77" customFormat="1" ht="20.100000000000001" customHeight="1">
      <c r="A81" s="40" t="s">
        <v>640</v>
      </c>
      <c r="B81" s="41">
        <v>1</v>
      </c>
      <c r="C81" s="41">
        <v>2</v>
      </c>
      <c r="D81" s="55" t="s">
        <v>629</v>
      </c>
      <c r="E81" s="40" t="s">
        <v>630</v>
      </c>
      <c r="F81" s="57" t="s">
        <v>641</v>
      </c>
      <c r="G81" s="112" t="s">
        <v>60</v>
      </c>
      <c r="H81" s="40" t="s">
        <v>515</v>
      </c>
      <c r="I81" s="40" t="s">
        <v>515</v>
      </c>
      <c r="J81" s="40" t="s">
        <v>516</v>
      </c>
      <c r="K81" s="40" t="s">
        <v>516</v>
      </c>
      <c r="L81" s="40" t="s">
        <v>517</v>
      </c>
      <c r="M81" s="40" t="s">
        <v>61</v>
      </c>
      <c r="N81" s="40" t="s">
        <v>61</v>
      </c>
      <c r="O81" s="41" t="s">
        <v>63</v>
      </c>
      <c r="P81" s="41" t="s">
        <v>64</v>
      </c>
      <c r="Q81" s="40" t="s">
        <v>210</v>
      </c>
      <c r="R81" s="42"/>
      <c r="S81" s="40"/>
      <c r="T81" s="41"/>
      <c r="U81" s="41">
        <v>1</v>
      </c>
      <c r="V81" s="41">
        <v>0</v>
      </c>
      <c r="W81" s="41"/>
      <c r="X81" s="41" t="s">
        <v>65</v>
      </c>
      <c r="Y81" s="41"/>
      <c r="Z81" s="41"/>
      <c r="AA81" s="41"/>
      <c r="AB81" s="113" t="str">
        <f t="shared" si="1"/>
        <v>;;1000;;;;;4040009:20|3090200:300|3120100:30;;</v>
      </c>
      <c r="AC81" s="113">
        <v>12960</v>
      </c>
      <c r="AD81" s="90"/>
      <c r="AE81" s="41"/>
      <c r="AF81" s="41"/>
      <c r="AG81" s="41"/>
      <c r="AH81" s="41"/>
      <c r="AI81" s="55">
        <v>12960</v>
      </c>
      <c r="AJ81" s="41"/>
      <c r="AK81" s="41"/>
      <c r="AL81" s="41"/>
      <c r="AM81" s="90"/>
      <c r="AN81" s="90"/>
      <c r="AO81" s="90"/>
      <c r="AP81" s="90"/>
      <c r="AQ81" s="90"/>
      <c r="AR81" s="90"/>
      <c r="AS81" s="90"/>
      <c r="AT81" s="62"/>
      <c r="AU81" s="62"/>
      <c r="AV81" s="62"/>
      <c r="AW81" s="90"/>
      <c r="AX81" s="90"/>
      <c r="AY81" s="90">
        <v>1000</v>
      </c>
      <c r="AZ81" s="91"/>
      <c r="BA81" s="91"/>
      <c r="BB81" s="91"/>
      <c r="BC81" s="91"/>
      <c r="BD81" s="91" t="s">
        <v>642</v>
      </c>
      <c r="BE81" s="91"/>
      <c r="BF81" s="91"/>
      <c r="BG81" s="91" t="s">
        <v>633</v>
      </c>
      <c r="BH81" s="91">
        <v>3020213</v>
      </c>
      <c r="BI81" s="80"/>
    </row>
    <row r="82" spans="1:61" s="77" customFormat="1" ht="20.100000000000001" customHeight="1">
      <c r="A82" s="40" t="s">
        <v>643</v>
      </c>
      <c r="B82" s="41">
        <v>1</v>
      </c>
      <c r="C82" s="41">
        <v>2</v>
      </c>
      <c r="D82" s="55" t="s">
        <v>629</v>
      </c>
      <c r="E82" s="40" t="s">
        <v>630</v>
      </c>
      <c r="F82" s="57" t="s">
        <v>644</v>
      </c>
      <c r="G82" s="112" t="s">
        <v>60</v>
      </c>
      <c r="H82" s="40" t="s">
        <v>515</v>
      </c>
      <c r="I82" s="40" t="s">
        <v>515</v>
      </c>
      <c r="J82" s="40" t="s">
        <v>516</v>
      </c>
      <c r="K82" s="40" t="s">
        <v>516</v>
      </c>
      <c r="L82" s="40" t="s">
        <v>517</v>
      </c>
      <c r="M82" s="40" t="s">
        <v>61</v>
      </c>
      <c r="N82" s="40" t="s">
        <v>61</v>
      </c>
      <c r="O82" s="41" t="s">
        <v>63</v>
      </c>
      <c r="P82" s="41" t="s">
        <v>64</v>
      </c>
      <c r="Q82" s="40" t="s">
        <v>210</v>
      </c>
      <c r="R82" s="42"/>
      <c r="S82" s="40"/>
      <c r="T82" s="41"/>
      <c r="U82" s="41">
        <v>1</v>
      </c>
      <c r="V82" s="41">
        <v>0</v>
      </c>
      <c r="W82" s="41"/>
      <c r="X82" s="41" t="s">
        <v>65</v>
      </c>
      <c r="Y82" s="41"/>
      <c r="Z82" s="41"/>
      <c r="AA82" s="41"/>
      <c r="AB82" s="113" t="str">
        <f t="shared" si="1"/>
        <v>;;1500;;;;;1081801:1|1083801:1|1085801:1|1086801:1|3160100:500|3020205:1;;</v>
      </c>
      <c r="AC82" s="113">
        <v>30000</v>
      </c>
      <c r="AD82" s="90"/>
      <c r="AE82" s="41"/>
      <c r="AF82" s="41"/>
      <c r="AG82" s="41"/>
      <c r="AH82" s="41"/>
      <c r="AI82" s="55">
        <v>30000</v>
      </c>
      <c r="AJ82" s="41"/>
      <c r="AK82" s="41"/>
      <c r="AL82" s="41"/>
      <c r="AM82" s="90"/>
      <c r="AN82" s="90"/>
      <c r="AO82" s="90"/>
      <c r="AP82" s="90"/>
      <c r="AQ82" s="90"/>
      <c r="AR82" s="90"/>
      <c r="AS82" s="90"/>
      <c r="AT82" s="62"/>
      <c r="AU82" s="62"/>
      <c r="AV82" s="62"/>
      <c r="AW82" s="90"/>
      <c r="AX82" s="90"/>
      <c r="AY82" s="90">
        <v>1500</v>
      </c>
      <c r="AZ82" s="91"/>
      <c r="BA82" s="91"/>
      <c r="BB82" s="91"/>
      <c r="BC82" s="91"/>
      <c r="BD82" s="91" t="s">
        <v>645</v>
      </c>
      <c r="BE82" s="91"/>
      <c r="BF82" s="91"/>
      <c r="BG82" s="91" t="s">
        <v>633</v>
      </c>
      <c r="BH82" s="91">
        <v>3020214</v>
      </c>
      <c r="BI82" s="80"/>
    </row>
    <row r="83" spans="1:61" s="77" customFormat="1" ht="20.100000000000001" customHeight="1">
      <c r="A83" s="40" t="s">
        <v>646</v>
      </c>
      <c r="B83" s="41">
        <v>1</v>
      </c>
      <c r="C83" s="41">
        <v>2</v>
      </c>
      <c r="D83" s="55" t="s">
        <v>629</v>
      </c>
      <c r="E83" s="40" t="s">
        <v>630</v>
      </c>
      <c r="F83" s="57" t="s">
        <v>647</v>
      </c>
      <c r="G83" s="112" t="s">
        <v>60</v>
      </c>
      <c r="H83" s="40" t="s">
        <v>515</v>
      </c>
      <c r="I83" s="40" t="s">
        <v>515</v>
      </c>
      <c r="J83" s="40" t="s">
        <v>516</v>
      </c>
      <c r="K83" s="40" t="s">
        <v>516</v>
      </c>
      <c r="L83" s="40" t="s">
        <v>517</v>
      </c>
      <c r="M83" s="40" t="s">
        <v>61</v>
      </c>
      <c r="N83" s="40" t="s">
        <v>61</v>
      </c>
      <c r="O83" s="41" t="s">
        <v>63</v>
      </c>
      <c r="P83" s="41" t="s">
        <v>64</v>
      </c>
      <c r="Q83" s="40" t="s">
        <v>210</v>
      </c>
      <c r="R83" s="42"/>
      <c r="S83" s="40"/>
      <c r="T83" s="41"/>
      <c r="U83" s="41">
        <v>1</v>
      </c>
      <c r="V83" s="41">
        <v>0</v>
      </c>
      <c r="W83" s="41"/>
      <c r="X83" s="41" t="s">
        <v>65</v>
      </c>
      <c r="Y83" s="41"/>
      <c r="Z83" s="41"/>
      <c r="AA83" s="41"/>
      <c r="AB83" s="113" t="str">
        <f t="shared" si="1"/>
        <v>;;2000;;;;;1101502:1|1102502:1|1103502:1|1104502:1|1105502:1|1106502:1|3160100:800|3020206:1;;</v>
      </c>
      <c r="AC83" s="113">
        <v>50000</v>
      </c>
      <c r="AD83" s="90"/>
      <c r="AE83" s="41"/>
      <c r="AF83" s="41"/>
      <c r="AG83" s="41"/>
      <c r="AH83" s="41"/>
      <c r="AI83" s="55">
        <v>50000</v>
      </c>
      <c r="AJ83" s="41"/>
      <c r="AK83" s="41"/>
      <c r="AL83" s="41"/>
      <c r="AM83" s="90"/>
      <c r="AN83" s="90"/>
      <c r="AO83" s="90"/>
      <c r="AP83" s="90"/>
      <c r="AQ83" s="90"/>
      <c r="AR83" s="90"/>
      <c r="AS83" s="90"/>
      <c r="AT83" s="62"/>
      <c r="AU83" s="62"/>
      <c r="AV83" s="62"/>
      <c r="AW83" s="90"/>
      <c r="AX83" s="90"/>
      <c r="AY83" s="90">
        <v>2000</v>
      </c>
      <c r="AZ83" s="91"/>
      <c r="BA83" s="91"/>
      <c r="BB83" s="91"/>
      <c r="BC83" s="91"/>
      <c r="BD83" s="91" t="s">
        <v>648</v>
      </c>
      <c r="BE83" s="91"/>
      <c r="BF83" s="91"/>
      <c r="BG83" s="91" t="s">
        <v>633</v>
      </c>
      <c r="BH83" s="91">
        <v>3020215</v>
      </c>
      <c r="BI83" s="80"/>
    </row>
    <row r="84" spans="1:61" s="77" customFormat="1" ht="20.100000000000001" customHeight="1">
      <c r="A84" s="40" t="s">
        <v>649</v>
      </c>
      <c r="B84" s="41">
        <v>1</v>
      </c>
      <c r="C84" s="41">
        <v>2</v>
      </c>
      <c r="D84" s="55" t="s">
        <v>629</v>
      </c>
      <c r="E84" s="40" t="s">
        <v>630</v>
      </c>
      <c r="F84" s="57" t="s">
        <v>631</v>
      </c>
      <c r="G84" s="112" t="s">
        <v>60</v>
      </c>
      <c r="H84" s="40" t="s">
        <v>516</v>
      </c>
      <c r="I84" s="40" t="s">
        <v>516</v>
      </c>
      <c r="J84" s="40" t="s">
        <v>518</v>
      </c>
      <c r="K84" s="40" t="s">
        <v>518</v>
      </c>
      <c r="L84" s="40" t="s">
        <v>517</v>
      </c>
      <c r="M84" s="40" t="s">
        <v>61</v>
      </c>
      <c r="N84" s="40" t="s">
        <v>61</v>
      </c>
      <c r="O84" s="41" t="s">
        <v>63</v>
      </c>
      <c r="P84" s="41" t="s">
        <v>64</v>
      </c>
      <c r="Q84" s="40" t="s">
        <v>210</v>
      </c>
      <c r="R84" s="42"/>
      <c r="S84" s="40"/>
      <c r="T84" s="41"/>
      <c r="U84" s="41">
        <v>1</v>
      </c>
      <c r="V84" s="41">
        <v>0</v>
      </c>
      <c r="W84" s="41"/>
      <c r="X84" s="41" t="s">
        <v>65</v>
      </c>
      <c r="Y84" s="41"/>
      <c r="Z84" s="41"/>
      <c r="AA84" s="41"/>
      <c r="AB84" s="113" t="str">
        <f t="shared" si="1"/>
        <v>;;;;;;;3170000:1|2040003:1|2050003:1;;</v>
      </c>
      <c r="AC84" s="113">
        <v>360</v>
      </c>
      <c r="AD84" s="90"/>
      <c r="AE84" s="41"/>
      <c r="AF84" s="41"/>
      <c r="AG84" s="41"/>
      <c r="AH84" s="41"/>
      <c r="AI84" s="55">
        <v>360</v>
      </c>
      <c r="AJ84" s="41"/>
      <c r="AK84" s="41"/>
      <c r="AL84" s="41"/>
      <c r="AM84" s="90"/>
      <c r="AN84" s="90"/>
      <c r="AO84" s="90"/>
      <c r="AP84" s="90"/>
      <c r="AQ84" s="90"/>
      <c r="AR84" s="90"/>
      <c r="AS84" s="90"/>
      <c r="AT84" s="62"/>
      <c r="AU84" s="62"/>
      <c r="AV84" s="62"/>
      <c r="AW84" s="90"/>
      <c r="AX84" s="90"/>
      <c r="AY84" s="90"/>
      <c r="AZ84" s="91"/>
      <c r="BA84" s="91"/>
      <c r="BB84" s="91"/>
      <c r="BC84" s="91"/>
      <c r="BD84" s="91" t="s">
        <v>632</v>
      </c>
      <c r="BE84" s="91"/>
      <c r="BF84" s="91"/>
      <c r="BG84" s="91" t="s">
        <v>633</v>
      </c>
      <c r="BH84" s="91">
        <v>3020216</v>
      </c>
      <c r="BI84" s="80"/>
    </row>
    <row r="85" spans="1:61" s="77" customFormat="1" ht="20.100000000000001" customHeight="1">
      <c r="A85" s="40" t="s">
        <v>650</v>
      </c>
      <c r="B85" s="41">
        <v>1</v>
      </c>
      <c r="C85" s="41">
        <v>2</v>
      </c>
      <c r="D85" s="55" t="s">
        <v>629</v>
      </c>
      <c r="E85" s="40" t="s">
        <v>630</v>
      </c>
      <c r="F85" s="57" t="s">
        <v>635</v>
      </c>
      <c r="G85" s="112" t="s">
        <v>60</v>
      </c>
      <c r="H85" s="40" t="s">
        <v>516</v>
      </c>
      <c r="I85" s="40" t="s">
        <v>516</v>
      </c>
      <c r="J85" s="40" t="s">
        <v>518</v>
      </c>
      <c r="K85" s="40" t="s">
        <v>518</v>
      </c>
      <c r="L85" s="40" t="s">
        <v>517</v>
      </c>
      <c r="M85" s="40" t="s">
        <v>61</v>
      </c>
      <c r="N85" s="40" t="s">
        <v>61</v>
      </c>
      <c r="O85" s="41" t="s">
        <v>63</v>
      </c>
      <c r="P85" s="41" t="s">
        <v>64</v>
      </c>
      <c r="Q85" s="40" t="s">
        <v>210</v>
      </c>
      <c r="R85" s="42"/>
      <c r="S85" s="40"/>
      <c r="T85" s="41"/>
      <c r="U85" s="41">
        <v>1</v>
      </c>
      <c r="V85" s="41">
        <v>0</v>
      </c>
      <c r="W85" s="41"/>
      <c r="X85" s="41" t="s">
        <v>65</v>
      </c>
      <c r="Y85" s="41"/>
      <c r="Z85" s="41"/>
      <c r="AA85" s="41"/>
      <c r="AB85" s="113" t="str">
        <f t="shared" si="1"/>
        <v>;;500;;;;;4040007:20|3090200:300|3160100:200;;</v>
      </c>
      <c r="AC85" s="113">
        <v>1280</v>
      </c>
      <c r="AD85" s="90"/>
      <c r="AE85" s="41"/>
      <c r="AF85" s="41"/>
      <c r="AG85" s="41"/>
      <c r="AH85" s="41"/>
      <c r="AI85" s="55">
        <v>1280</v>
      </c>
      <c r="AJ85" s="41"/>
      <c r="AK85" s="41"/>
      <c r="AL85" s="41"/>
      <c r="AM85" s="90"/>
      <c r="AN85" s="90"/>
      <c r="AO85" s="90"/>
      <c r="AP85" s="90"/>
      <c r="AQ85" s="90"/>
      <c r="AR85" s="90"/>
      <c r="AS85" s="90"/>
      <c r="AT85" s="62"/>
      <c r="AU85" s="62"/>
      <c r="AV85" s="62"/>
      <c r="AW85" s="90"/>
      <c r="AX85" s="90"/>
      <c r="AY85" s="90">
        <v>500</v>
      </c>
      <c r="AZ85" s="91"/>
      <c r="BA85" s="91"/>
      <c r="BB85" s="91"/>
      <c r="BC85" s="91"/>
      <c r="BD85" s="91" t="s">
        <v>636</v>
      </c>
      <c r="BE85" s="91"/>
      <c r="BF85" s="91"/>
      <c r="BG85" s="91" t="s">
        <v>633</v>
      </c>
      <c r="BH85" s="91">
        <v>3020217</v>
      </c>
      <c r="BI85" s="80"/>
    </row>
    <row r="86" spans="1:61" s="77" customFormat="1" ht="20.100000000000001" customHeight="1">
      <c r="A86" s="40" t="s">
        <v>651</v>
      </c>
      <c r="B86" s="41">
        <v>1</v>
      </c>
      <c r="C86" s="41">
        <v>2</v>
      </c>
      <c r="D86" s="55" t="s">
        <v>629</v>
      </c>
      <c r="E86" s="40" t="s">
        <v>630</v>
      </c>
      <c r="F86" s="57" t="s">
        <v>638</v>
      </c>
      <c r="G86" s="112" t="s">
        <v>60</v>
      </c>
      <c r="H86" s="40" t="s">
        <v>516</v>
      </c>
      <c r="I86" s="40" t="s">
        <v>516</v>
      </c>
      <c r="J86" s="40" t="s">
        <v>518</v>
      </c>
      <c r="K86" s="40" t="s">
        <v>518</v>
      </c>
      <c r="L86" s="40" t="s">
        <v>517</v>
      </c>
      <c r="M86" s="40" t="s">
        <v>61</v>
      </c>
      <c r="N86" s="40" t="s">
        <v>61</v>
      </c>
      <c r="O86" s="41" t="s">
        <v>63</v>
      </c>
      <c r="P86" s="41" t="s">
        <v>64</v>
      </c>
      <c r="Q86" s="40" t="s">
        <v>210</v>
      </c>
      <c r="R86" s="42"/>
      <c r="S86" s="40"/>
      <c r="T86" s="41"/>
      <c r="U86" s="41">
        <v>1</v>
      </c>
      <c r="V86" s="41">
        <v>0</v>
      </c>
      <c r="W86" s="41"/>
      <c r="X86" s="41" t="s">
        <v>65</v>
      </c>
      <c r="Y86" s="41"/>
      <c r="Z86" s="41"/>
      <c r="AA86" s="41"/>
      <c r="AB86" s="113" t="str">
        <f t="shared" si="1"/>
        <v>500000;;;;;;;4010000:30|3170000:2|3120100:20;;</v>
      </c>
      <c r="AC86" s="113">
        <v>3280</v>
      </c>
      <c r="AD86" s="90"/>
      <c r="AE86" s="41"/>
      <c r="AF86" s="41"/>
      <c r="AG86" s="41"/>
      <c r="AH86" s="41"/>
      <c r="AI86" s="55">
        <v>3280</v>
      </c>
      <c r="AJ86" s="41"/>
      <c r="AK86" s="41"/>
      <c r="AL86" s="41"/>
      <c r="AM86" s="90"/>
      <c r="AN86" s="90"/>
      <c r="AO86" s="90"/>
      <c r="AP86" s="90"/>
      <c r="AQ86" s="90"/>
      <c r="AR86" s="90"/>
      <c r="AS86" s="90"/>
      <c r="AT86" s="62"/>
      <c r="AU86" s="62"/>
      <c r="AV86" s="62"/>
      <c r="AW86" s="90">
        <v>500000</v>
      </c>
      <c r="AX86" s="90"/>
      <c r="AY86" s="90"/>
      <c r="AZ86" s="91"/>
      <c r="BA86" s="91"/>
      <c r="BB86" s="91"/>
      <c r="BC86" s="91"/>
      <c r="BD86" s="91" t="s">
        <v>639</v>
      </c>
      <c r="BE86" s="91"/>
      <c r="BF86" s="91"/>
      <c r="BG86" s="91" t="s">
        <v>633</v>
      </c>
      <c r="BH86" s="91">
        <v>3020218</v>
      </c>
      <c r="BI86" s="80"/>
    </row>
    <row r="87" spans="1:61" s="77" customFormat="1" ht="20.100000000000001" customHeight="1">
      <c r="A87" s="40" t="s">
        <v>652</v>
      </c>
      <c r="B87" s="41">
        <v>1</v>
      </c>
      <c r="C87" s="41">
        <v>2</v>
      </c>
      <c r="D87" s="55" t="s">
        <v>629</v>
      </c>
      <c r="E87" s="40" t="s">
        <v>630</v>
      </c>
      <c r="F87" s="57" t="s">
        <v>641</v>
      </c>
      <c r="G87" s="112" t="s">
        <v>60</v>
      </c>
      <c r="H87" s="40" t="s">
        <v>516</v>
      </c>
      <c r="I87" s="40" t="s">
        <v>516</v>
      </c>
      <c r="J87" s="40" t="s">
        <v>518</v>
      </c>
      <c r="K87" s="40" t="s">
        <v>518</v>
      </c>
      <c r="L87" s="40" t="s">
        <v>517</v>
      </c>
      <c r="M87" s="40" t="s">
        <v>61</v>
      </c>
      <c r="N87" s="40" t="s">
        <v>61</v>
      </c>
      <c r="O87" s="41" t="s">
        <v>63</v>
      </c>
      <c r="P87" s="41" t="s">
        <v>64</v>
      </c>
      <c r="Q87" s="40" t="s">
        <v>210</v>
      </c>
      <c r="R87" s="42"/>
      <c r="S87" s="40"/>
      <c r="T87" s="41"/>
      <c r="U87" s="41">
        <v>1</v>
      </c>
      <c r="V87" s="41">
        <v>0</v>
      </c>
      <c r="W87" s="41"/>
      <c r="X87" s="41" t="s">
        <v>65</v>
      </c>
      <c r="Y87" s="41"/>
      <c r="Z87" s="41"/>
      <c r="AA87" s="41"/>
      <c r="AB87" s="113" t="str">
        <f t="shared" si="1"/>
        <v>;;1000;;;;;4040009:20|3090200:300|3120100:30;;</v>
      </c>
      <c r="AC87" s="113">
        <v>12960</v>
      </c>
      <c r="AD87" s="90"/>
      <c r="AE87" s="41"/>
      <c r="AF87" s="41"/>
      <c r="AG87" s="41"/>
      <c r="AH87" s="41"/>
      <c r="AI87" s="55">
        <v>12960</v>
      </c>
      <c r="AJ87" s="41"/>
      <c r="AK87" s="41"/>
      <c r="AL87" s="41"/>
      <c r="AM87" s="90"/>
      <c r="AN87" s="90"/>
      <c r="AO87" s="90"/>
      <c r="AP87" s="90"/>
      <c r="AQ87" s="90"/>
      <c r="AR87" s="90"/>
      <c r="AS87" s="90"/>
      <c r="AT87" s="62"/>
      <c r="AU87" s="62"/>
      <c r="AV87" s="62"/>
      <c r="AW87" s="90"/>
      <c r="AX87" s="90"/>
      <c r="AY87" s="90">
        <v>1000</v>
      </c>
      <c r="AZ87" s="91"/>
      <c r="BA87" s="91"/>
      <c r="BB87" s="91"/>
      <c r="BC87" s="91"/>
      <c r="BD87" s="91" t="s">
        <v>642</v>
      </c>
      <c r="BE87" s="91"/>
      <c r="BF87" s="91"/>
      <c r="BG87" s="91" t="s">
        <v>633</v>
      </c>
      <c r="BH87" s="91">
        <v>3020219</v>
      </c>
      <c r="BI87" s="80"/>
    </row>
    <row r="88" spans="1:61" s="77" customFormat="1" ht="20.100000000000001" customHeight="1">
      <c r="A88" s="40" t="s">
        <v>653</v>
      </c>
      <c r="B88" s="41">
        <v>1</v>
      </c>
      <c r="C88" s="41">
        <v>2</v>
      </c>
      <c r="D88" s="55" t="s">
        <v>629</v>
      </c>
      <c r="E88" s="40" t="s">
        <v>630</v>
      </c>
      <c r="F88" s="57" t="s">
        <v>644</v>
      </c>
      <c r="G88" s="112" t="s">
        <v>60</v>
      </c>
      <c r="H88" s="40" t="s">
        <v>516</v>
      </c>
      <c r="I88" s="40" t="s">
        <v>516</v>
      </c>
      <c r="J88" s="40" t="s">
        <v>518</v>
      </c>
      <c r="K88" s="40" t="s">
        <v>518</v>
      </c>
      <c r="L88" s="40" t="s">
        <v>517</v>
      </c>
      <c r="M88" s="40" t="s">
        <v>61</v>
      </c>
      <c r="N88" s="40" t="s">
        <v>61</v>
      </c>
      <c r="O88" s="41" t="s">
        <v>63</v>
      </c>
      <c r="P88" s="41" t="s">
        <v>64</v>
      </c>
      <c r="Q88" s="40" t="s">
        <v>210</v>
      </c>
      <c r="R88" s="42"/>
      <c r="S88" s="40"/>
      <c r="T88" s="41"/>
      <c r="U88" s="41">
        <v>1</v>
      </c>
      <c r="V88" s="41">
        <v>0</v>
      </c>
      <c r="W88" s="41"/>
      <c r="X88" s="41" t="s">
        <v>65</v>
      </c>
      <c r="Y88" s="41"/>
      <c r="Z88" s="41"/>
      <c r="AA88" s="41"/>
      <c r="AB88" s="113" t="str">
        <f t="shared" si="1"/>
        <v>;;1500;;;;;1081901:1|1083901:1|1085901:1|1086901:1|3160100:500|3020205:1;;</v>
      </c>
      <c r="AC88" s="113">
        <v>30000</v>
      </c>
      <c r="AD88" s="90"/>
      <c r="AE88" s="41"/>
      <c r="AF88" s="41"/>
      <c r="AG88" s="41"/>
      <c r="AH88" s="41"/>
      <c r="AI88" s="55">
        <v>30000</v>
      </c>
      <c r="AJ88" s="41"/>
      <c r="AK88" s="41"/>
      <c r="AL88" s="41"/>
      <c r="AM88" s="90"/>
      <c r="AN88" s="90"/>
      <c r="AO88" s="90"/>
      <c r="AP88" s="90"/>
      <c r="AQ88" s="90"/>
      <c r="AR88" s="90"/>
      <c r="AS88" s="90"/>
      <c r="AT88" s="62"/>
      <c r="AU88" s="62"/>
      <c r="AV88" s="62"/>
      <c r="AW88" s="90"/>
      <c r="AX88" s="90"/>
      <c r="AY88" s="90">
        <v>1500</v>
      </c>
      <c r="AZ88" s="91"/>
      <c r="BA88" s="91"/>
      <c r="BB88" s="91"/>
      <c r="BC88" s="91"/>
      <c r="BD88" s="91" t="s">
        <v>654</v>
      </c>
      <c r="BE88" s="91"/>
      <c r="BF88" s="91"/>
      <c r="BG88" s="91" t="s">
        <v>633</v>
      </c>
      <c r="BH88" s="91">
        <v>3020220</v>
      </c>
      <c r="BI88" s="80"/>
    </row>
    <row r="89" spans="1:61" s="77" customFormat="1" ht="20.100000000000001" customHeight="1">
      <c r="A89" s="40" t="s">
        <v>655</v>
      </c>
      <c r="B89" s="41">
        <v>1</v>
      </c>
      <c r="C89" s="41">
        <v>2</v>
      </c>
      <c r="D89" s="55" t="s">
        <v>629</v>
      </c>
      <c r="E89" s="40" t="s">
        <v>630</v>
      </c>
      <c r="F89" s="57" t="s">
        <v>647</v>
      </c>
      <c r="G89" s="112" t="s">
        <v>60</v>
      </c>
      <c r="H89" s="40" t="s">
        <v>516</v>
      </c>
      <c r="I89" s="40" t="s">
        <v>516</v>
      </c>
      <c r="J89" s="40" t="s">
        <v>518</v>
      </c>
      <c r="K89" s="40" t="s">
        <v>518</v>
      </c>
      <c r="L89" s="40" t="s">
        <v>517</v>
      </c>
      <c r="M89" s="40" t="s">
        <v>61</v>
      </c>
      <c r="N89" s="40" t="s">
        <v>61</v>
      </c>
      <c r="O89" s="41" t="s">
        <v>63</v>
      </c>
      <c r="P89" s="41" t="s">
        <v>64</v>
      </c>
      <c r="Q89" s="40" t="s">
        <v>210</v>
      </c>
      <c r="R89" s="42"/>
      <c r="S89" s="40"/>
      <c r="T89" s="41"/>
      <c r="U89" s="41">
        <v>1</v>
      </c>
      <c r="V89" s="41">
        <v>0</v>
      </c>
      <c r="W89" s="41"/>
      <c r="X89" s="41" t="s">
        <v>65</v>
      </c>
      <c r="Y89" s="41"/>
      <c r="Z89" s="41"/>
      <c r="AA89" s="41"/>
      <c r="AB89" s="113" t="str">
        <f t="shared" si="1"/>
        <v>;;2000;;;;;1131502:1|3160100:800|3020206:1;;</v>
      </c>
      <c r="AC89" s="113">
        <v>50000</v>
      </c>
      <c r="AD89" s="90"/>
      <c r="AE89" s="41"/>
      <c r="AF89" s="41"/>
      <c r="AG89" s="41"/>
      <c r="AH89" s="41"/>
      <c r="AI89" s="55">
        <v>50000</v>
      </c>
      <c r="AJ89" s="41"/>
      <c r="AK89" s="41"/>
      <c r="AL89" s="41"/>
      <c r="AM89" s="90"/>
      <c r="AN89" s="90"/>
      <c r="AO89" s="90"/>
      <c r="AP89" s="90"/>
      <c r="AQ89" s="90"/>
      <c r="AR89" s="90"/>
      <c r="AS89" s="90"/>
      <c r="AT89" s="62"/>
      <c r="AU89" s="62"/>
      <c r="AV89" s="62"/>
      <c r="AW89" s="90"/>
      <c r="AX89" s="90"/>
      <c r="AY89" s="90">
        <v>2000</v>
      </c>
      <c r="AZ89" s="91"/>
      <c r="BA89" s="91"/>
      <c r="BB89" s="91"/>
      <c r="BC89" s="91"/>
      <c r="BD89" s="91" t="s">
        <v>656</v>
      </c>
      <c r="BE89" s="91"/>
      <c r="BF89" s="91"/>
      <c r="BG89" s="91" t="s">
        <v>633</v>
      </c>
      <c r="BH89" s="91">
        <v>3020221</v>
      </c>
      <c r="BI89" s="80"/>
    </row>
  </sheetData>
  <phoneticPr fontId="36"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BH42"/>
  <sheetViews>
    <sheetView topLeftCell="A10" workbookViewId="0">
      <selection activeCell="A35" sqref="A35:C42"/>
    </sheetView>
  </sheetViews>
  <sheetFormatPr defaultRowHeight="13.5"/>
  <cols>
    <col min="3" max="3" width="21.875" customWidth="1"/>
    <col min="4" max="4" width="29.25" customWidth="1"/>
  </cols>
  <sheetData>
    <row r="1" spans="1:11" ht="14.25">
      <c r="A1" t="s">
        <v>373</v>
      </c>
      <c r="B1" s="57" t="s">
        <v>372</v>
      </c>
    </row>
    <row r="2" spans="1:11" ht="14.25">
      <c r="A2" t="s">
        <v>373</v>
      </c>
      <c r="B2" s="57" t="s">
        <v>366</v>
      </c>
      <c r="C2" t="s">
        <v>374</v>
      </c>
    </row>
    <row r="3" spans="1:11" ht="16.5">
      <c r="A3" t="s">
        <v>373</v>
      </c>
      <c r="B3" s="57" t="s">
        <v>367</v>
      </c>
      <c r="C3" t="s">
        <v>374</v>
      </c>
      <c r="H3" s="69" t="s">
        <v>455</v>
      </c>
      <c r="I3" t="s">
        <v>456</v>
      </c>
      <c r="J3" t="s">
        <v>460</v>
      </c>
      <c r="K3" t="str">
        <f>I3&amp;J3&amp;H3</f>
        <v>3020206:1|3090600:5</v>
      </c>
    </row>
    <row r="4" spans="1:11" ht="16.5">
      <c r="A4" t="s">
        <v>373</v>
      </c>
      <c r="B4" s="57" t="s">
        <v>368</v>
      </c>
      <c r="C4" t="s">
        <v>374</v>
      </c>
      <c r="H4" s="69" t="s">
        <v>457</v>
      </c>
      <c r="I4" t="s">
        <v>458</v>
      </c>
      <c r="J4" t="s">
        <v>460</v>
      </c>
      <c r="K4" t="str">
        <f t="shared" ref="K4:K5" si="0">I4&amp;J4&amp;H4</f>
        <v>3020205:1|3090600:2</v>
      </c>
    </row>
    <row r="5" spans="1:11" ht="16.5">
      <c r="A5" t="s">
        <v>373</v>
      </c>
      <c r="B5" s="57" t="s">
        <v>369</v>
      </c>
      <c r="C5" t="s">
        <v>374</v>
      </c>
      <c r="H5" s="69" t="s">
        <v>459</v>
      </c>
      <c r="I5" t="s">
        <v>433</v>
      </c>
      <c r="J5" t="s">
        <v>460</v>
      </c>
      <c r="K5" t="str">
        <f t="shared" si="0"/>
        <v>3020204:1|3090600:1</v>
      </c>
    </row>
    <row r="6" spans="1:11" ht="14.25">
      <c r="A6" t="s">
        <v>373</v>
      </c>
      <c r="B6" s="57" t="s">
        <v>370</v>
      </c>
      <c r="C6" t="s">
        <v>374</v>
      </c>
    </row>
    <row r="7" spans="1:11" ht="14.25">
      <c r="A7" t="s">
        <v>373</v>
      </c>
      <c r="B7" s="57" t="s">
        <v>371</v>
      </c>
      <c r="C7" t="s">
        <v>374</v>
      </c>
    </row>
    <row r="14" spans="1:11">
      <c r="B14" t="s">
        <v>417</v>
      </c>
      <c r="C14" t="s">
        <v>419</v>
      </c>
      <c r="D14" t="s">
        <v>420</v>
      </c>
    </row>
    <row r="15" spans="1:11" ht="27" customHeight="1">
      <c r="A15">
        <v>10</v>
      </c>
      <c r="B15">
        <v>1</v>
      </c>
      <c r="C15" s="343" t="s">
        <v>418</v>
      </c>
      <c r="D15" s="70" t="s">
        <v>421</v>
      </c>
    </row>
    <row r="16" spans="1:11" ht="23.25" customHeight="1">
      <c r="B16">
        <v>2</v>
      </c>
      <c r="C16" s="343"/>
      <c r="D16" t="s">
        <v>422</v>
      </c>
    </row>
    <row r="17" spans="1:60" ht="13.5" customHeight="1">
      <c r="B17">
        <v>3</v>
      </c>
      <c r="C17" s="343"/>
      <c r="D17" s="343" t="s">
        <v>424</v>
      </c>
      <c r="I17" s="343" t="s">
        <v>423</v>
      </c>
    </row>
    <row r="18" spans="1:60">
      <c r="B18">
        <v>4</v>
      </c>
      <c r="C18" s="343"/>
      <c r="D18" s="343"/>
      <c r="I18" s="343"/>
    </row>
    <row r="19" spans="1:60">
      <c r="B19">
        <v>5</v>
      </c>
      <c r="C19" s="343"/>
      <c r="D19" s="343"/>
      <c r="I19" s="343"/>
    </row>
    <row r="20" spans="1:60" ht="21.75" customHeight="1">
      <c r="B20">
        <v>6</v>
      </c>
      <c r="C20" s="343"/>
      <c r="D20" s="343"/>
      <c r="I20" s="343"/>
    </row>
    <row r="21" spans="1:60">
      <c r="B21">
        <v>7</v>
      </c>
      <c r="C21" s="343" t="s">
        <v>425</v>
      </c>
      <c r="D21" s="343" t="s">
        <v>426</v>
      </c>
      <c r="I21" s="343"/>
    </row>
    <row r="22" spans="1:60">
      <c r="B22">
        <v>8</v>
      </c>
      <c r="C22" s="343"/>
      <c r="D22" s="343"/>
      <c r="I22" s="343"/>
    </row>
    <row r="23" spans="1:60">
      <c r="B23">
        <v>9</v>
      </c>
      <c r="C23" s="343"/>
      <c r="D23" s="343"/>
    </row>
    <row r="24" spans="1:60">
      <c r="B24">
        <v>10</v>
      </c>
      <c r="C24" s="343"/>
      <c r="D24" s="343"/>
    </row>
    <row r="28" spans="1:60" s="62" customFormat="1" ht="20.100000000000001" customHeight="1">
      <c r="A28" s="40" t="s">
        <v>523</v>
      </c>
      <c r="B28" s="41">
        <v>39</v>
      </c>
      <c r="C28" s="41">
        <v>1</v>
      </c>
      <c r="D28" s="55" t="s">
        <v>522</v>
      </c>
      <c r="E28" s="40" t="s">
        <v>537</v>
      </c>
      <c r="F28" s="57"/>
      <c r="G28" s="112" t="s">
        <v>60</v>
      </c>
      <c r="H28" s="40" t="s">
        <v>515</v>
      </c>
      <c r="I28" s="40" t="s">
        <v>515</v>
      </c>
      <c r="J28" s="40" t="s">
        <v>543</v>
      </c>
      <c r="K28" s="40" t="s">
        <v>549</v>
      </c>
      <c r="L28" s="40" t="s">
        <v>517</v>
      </c>
      <c r="M28" s="40" t="s">
        <v>61</v>
      </c>
      <c r="N28" s="40" t="s">
        <v>62</v>
      </c>
      <c r="O28" s="41" t="s">
        <v>63</v>
      </c>
      <c r="P28" s="41" t="s">
        <v>64</v>
      </c>
      <c r="Q28" s="40" t="s">
        <v>210</v>
      </c>
      <c r="R28" s="42"/>
      <c r="S28" s="40"/>
      <c r="T28" s="41"/>
      <c r="U28" s="41">
        <v>1</v>
      </c>
      <c r="V28" s="41">
        <v>0</v>
      </c>
      <c r="W28" s="41"/>
      <c r="X28" s="41" t="s">
        <v>65</v>
      </c>
      <c r="Y28" s="41"/>
      <c r="Z28" s="41"/>
      <c r="AA28" s="41"/>
      <c r="AB28" s="113" t="str">
        <f t="shared" ref="AB28:AB34" si="1">CONCATENATE(AW28,BG28,AX28,BG28,AY28,BG28,AZ28,BG28,BA28,BG28,BB28,BG28,BC28,BG28,BD28,BG28,BE28,BG28,BF28)</f>
        <v/>
      </c>
      <c r="AC28" s="114">
        <v>1</v>
      </c>
      <c r="AD28" s="90">
        <v>18000</v>
      </c>
      <c r="AE28" s="41"/>
      <c r="AF28" s="41"/>
      <c r="AG28" s="41"/>
      <c r="AH28" s="41"/>
      <c r="AI28" s="55">
        <v>360</v>
      </c>
      <c r="AJ28" s="41"/>
      <c r="AK28" s="41"/>
      <c r="AL28" s="41"/>
      <c r="AM28" s="90"/>
      <c r="AN28" s="90"/>
      <c r="AO28" s="90"/>
      <c r="AP28" s="90"/>
      <c r="AQ28" s="90"/>
      <c r="AR28" s="90"/>
      <c r="AS28" s="90"/>
      <c r="AW28" s="90"/>
      <c r="AX28" s="90"/>
      <c r="AY28" s="90"/>
      <c r="AZ28" s="91"/>
      <c r="BA28" s="91"/>
      <c r="BB28" s="91"/>
      <c r="BC28" s="91"/>
      <c r="BD28" s="91"/>
      <c r="BE28" s="91"/>
      <c r="BF28" s="91"/>
      <c r="BG28" s="91"/>
      <c r="BH28" s="91"/>
    </row>
    <row r="29" spans="1:60" s="62" customFormat="1" ht="20.100000000000001" customHeight="1">
      <c r="A29" s="40" t="s">
        <v>524</v>
      </c>
      <c r="B29" s="41">
        <v>39</v>
      </c>
      <c r="C29" s="41">
        <v>1</v>
      </c>
      <c r="D29" s="55" t="s">
        <v>530</v>
      </c>
      <c r="E29" s="40" t="s">
        <v>536</v>
      </c>
      <c r="F29" s="57"/>
      <c r="G29" s="112" t="s">
        <v>60</v>
      </c>
      <c r="H29" s="40" t="s">
        <v>515</v>
      </c>
      <c r="I29" s="40" t="s">
        <v>515</v>
      </c>
      <c r="J29" s="40" t="s">
        <v>544</v>
      </c>
      <c r="K29" s="40" t="s">
        <v>545</v>
      </c>
      <c r="L29" s="40" t="s">
        <v>517</v>
      </c>
      <c r="M29" s="40" t="s">
        <v>61</v>
      </c>
      <c r="N29" s="40" t="s">
        <v>62</v>
      </c>
      <c r="O29" s="41" t="s">
        <v>63</v>
      </c>
      <c r="P29" s="41" t="s">
        <v>64</v>
      </c>
      <c r="Q29" s="40" t="s">
        <v>210</v>
      </c>
      <c r="R29" s="42"/>
      <c r="S29" s="40"/>
      <c r="T29" s="41"/>
      <c r="U29" s="41">
        <v>1</v>
      </c>
      <c r="V29" s="41">
        <v>0</v>
      </c>
      <c r="W29" s="41"/>
      <c r="X29" s="41" t="s">
        <v>65</v>
      </c>
      <c r="Y29" s="41"/>
      <c r="Z29" s="41"/>
      <c r="AA29" s="41"/>
      <c r="AB29" s="113" t="str">
        <f t="shared" si="1"/>
        <v/>
      </c>
      <c r="AC29" s="114">
        <v>2</v>
      </c>
      <c r="AD29" s="90">
        <v>19000</v>
      </c>
      <c r="AE29" s="41"/>
      <c r="AF29" s="41"/>
      <c r="AG29" s="41"/>
      <c r="AH29" s="41"/>
      <c r="AI29" s="55">
        <v>360</v>
      </c>
      <c r="AJ29" s="41"/>
      <c r="AK29" s="41"/>
      <c r="AL29" s="41"/>
      <c r="AM29" s="90"/>
      <c r="AN29" s="90"/>
      <c r="AO29" s="90"/>
      <c r="AP29" s="90"/>
      <c r="AQ29" s="90"/>
      <c r="AR29" s="90"/>
      <c r="AS29" s="90"/>
      <c r="AW29" s="90"/>
      <c r="AX29" s="90"/>
      <c r="AY29" s="90"/>
      <c r="AZ29" s="91"/>
      <c r="BA29" s="91"/>
      <c r="BB29" s="91"/>
      <c r="BC29" s="91"/>
      <c r="BD29" s="91"/>
      <c r="BE29" s="91"/>
      <c r="BF29" s="91"/>
      <c r="BG29" s="91"/>
      <c r="BH29" s="91"/>
    </row>
    <row r="30" spans="1:60" s="62" customFormat="1" ht="20.100000000000001" customHeight="1">
      <c r="A30" s="40" t="s">
        <v>525</v>
      </c>
      <c r="B30" s="41">
        <v>39</v>
      </c>
      <c r="C30" s="41">
        <v>1</v>
      </c>
      <c r="D30" s="55" t="s">
        <v>531</v>
      </c>
      <c r="E30" s="40" t="s">
        <v>538</v>
      </c>
      <c r="F30" s="57"/>
      <c r="G30" s="112" t="s">
        <v>60</v>
      </c>
      <c r="H30" s="40" t="s">
        <v>515</v>
      </c>
      <c r="I30" s="40" t="s">
        <v>515</v>
      </c>
      <c r="J30" s="40" t="s">
        <v>545</v>
      </c>
      <c r="K30" s="40" t="s">
        <v>516</v>
      </c>
      <c r="L30" s="40" t="s">
        <v>517</v>
      </c>
      <c r="M30" s="40" t="s">
        <v>61</v>
      </c>
      <c r="N30" s="40" t="s">
        <v>62</v>
      </c>
      <c r="O30" s="41" t="s">
        <v>63</v>
      </c>
      <c r="P30" s="41" t="s">
        <v>64</v>
      </c>
      <c r="Q30" s="40" t="s">
        <v>210</v>
      </c>
      <c r="R30" s="42"/>
      <c r="S30" s="40"/>
      <c r="T30" s="41"/>
      <c r="U30" s="41">
        <v>1</v>
      </c>
      <c r="V30" s="41">
        <v>0</v>
      </c>
      <c r="W30" s="41"/>
      <c r="X30" s="41" t="s">
        <v>65</v>
      </c>
      <c r="Y30" s="41"/>
      <c r="Z30" s="41"/>
      <c r="AA30" s="41"/>
      <c r="AB30" s="113" t="str">
        <f t="shared" si="1"/>
        <v/>
      </c>
      <c r="AC30" s="114">
        <v>5</v>
      </c>
      <c r="AD30" s="90">
        <v>20000</v>
      </c>
      <c r="AE30" s="41"/>
      <c r="AF30" s="41"/>
      <c r="AG30" s="41"/>
      <c r="AH30" s="41"/>
      <c r="AI30" s="55">
        <v>360</v>
      </c>
      <c r="AJ30" s="41"/>
      <c r="AK30" s="41"/>
      <c r="AL30" s="41"/>
      <c r="AM30" s="90"/>
      <c r="AN30" s="90"/>
      <c r="AO30" s="90"/>
      <c r="AP30" s="90"/>
      <c r="AQ30" s="90"/>
      <c r="AR30" s="90"/>
      <c r="AS30" s="90"/>
      <c r="AW30" s="90"/>
      <c r="AX30" s="90"/>
      <c r="AY30" s="90"/>
      <c r="AZ30" s="91"/>
      <c r="BA30" s="91"/>
      <c r="BB30" s="91"/>
      <c r="BC30" s="91"/>
      <c r="BD30" s="91"/>
      <c r="BE30" s="91"/>
      <c r="BF30" s="91"/>
      <c r="BG30" s="91"/>
      <c r="BH30" s="91"/>
    </row>
    <row r="31" spans="1:60" s="62" customFormat="1" ht="20.100000000000001" customHeight="1">
      <c r="A31" s="40" t="s">
        <v>526</v>
      </c>
      <c r="B31" s="41">
        <v>39</v>
      </c>
      <c r="C31" s="41">
        <v>1</v>
      </c>
      <c r="D31" s="55" t="s">
        <v>532</v>
      </c>
      <c r="E31" s="40" t="s">
        <v>539</v>
      </c>
      <c r="F31" s="57"/>
      <c r="G31" s="112" t="s">
        <v>60</v>
      </c>
      <c r="H31" s="40" t="s">
        <v>515</v>
      </c>
      <c r="I31" s="40" t="s">
        <v>515</v>
      </c>
      <c r="J31" s="40" t="s">
        <v>516</v>
      </c>
      <c r="K31" s="40" t="s">
        <v>546</v>
      </c>
      <c r="L31" s="40" t="s">
        <v>517</v>
      </c>
      <c r="M31" s="40" t="s">
        <v>61</v>
      </c>
      <c r="N31" s="40" t="s">
        <v>62</v>
      </c>
      <c r="O31" s="41" t="s">
        <v>63</v>
      </c>
      <c r="P31" s="41" t="s">
        <v>64</v>
      </c>
      <c r="Q31" s="40" t="s">
        <v>210</v>
      </c>
      <c r="R31" s="42"/>
      <c r="S31" s="40"/>
      <c r="T31" s="41"/>
      <c r="U31" s="41">
        <v>1</v>
      </c>
      <c r="V31" s="41">
        <v>0</v>
      </c>
      <c r="W31" s="41"/>
      <c r="X31" s="41" t="s">
        <v>65</v>
      </c>
      <c r="Y31" s="41"/>
      <c r="Z31" s="41"/>
      <c r="AA31" s="41"/>
      <c r="AB31" s="113" t="str">
        <f t="shared" si="1"/>
        <v/>
      </c>
      <c r="AC31" s="114">
        <v>3</v>
      </c>
      <c r="AD31" s="90">
        <v>21000</v>
      </c>
      <c r="AE31" s="41"/>
      <c r="AF31" s="41"/>
      <c r="AG31" s="41"/>
      <c r="AH31" s="41"/>
      <c r="AI31" s="55">
        <v>360</v>
      </c>
      <c r="AJ31" s="41"/>
      <c r="AK31" s="41"/>
      <c r="AL31" s="41"/>
      <c r="AM31" s="90"/>
      <c r="AN31" s="90"/>
      <c r="AO31" s="90"/>
      <c r="AP31" s="90"/>
      <c r="AQ31" s="90"/>
      <c r="AR31" s="90"/>
      <c r="AS31" s="90"/>
      <c r="AW31" s="90"/>
      <c r="AX31" s="90"/>
      <c r="AY31" s="90"/>
      <c r="AZ31" s="91"/>
      <c r="BA31" s="91"/>
      <c r="BB31" s="91"/>
      <c r="BC31" s="91"/>
      <c r="BD31" s="91"/>
      <c r="BE31" s="91"/>
      <c r="BF31" s="91"/>
      <c r="BG31" s="91"/>
      <c r="BH31" s="91"/>
    </row>
    <row r="32" spans="1:60" s="62" customFormat="1" ht="20.100000000000001" customHeight="1">
      <c r="A32" s="40" t="s">
        <v>527</v>
      </c>
      <c r="B32" s="41">
        <v>39</v>
      </c>
      <c r="C32" s="41">
        <v>1</v>
      </c>
      <c r="D32" s="55" t="s">
        <v>533</v>
      </c>
      <c r="E32" s="40" t="s">
        <v>540</v>
      </c>
      <c r="F32" s="57"/>
      <c r="G32" s="112" t="s">
        <v>60</v>
      </c>
      <c r="H32" s="40" t="s">
        <v>515</v>
      </c>
      <c r="I32" s="40" t="s">
        <v>515</v>
      </c>
      <c r="J32" s="40" t="s">
        <v>546</v>
      </c>
      <c r="K32" s="40" t="s">
        <v>547</v>
      </c>
      <c r="L32" s="40" t="s">
        <v>517</v>
      </c>
      <c r="M32" s="40" t="s">
        <v>61</v>
      </c>
      <c r="N32" s="40" t="s">
        <v>62</v>
      </c>
      <c r="O32" s="41" t="s">
        <v>63</v>
      </c>
      <c r="P32" s="41" t="s">
        <v>64</v>
      </c>
      <c r="Q32" s="40" t="s">
        <v>210</v>
      </c>
      <c r="R32" s="42"/>
      <c r="S32" s="40"/>
      <c r="T32" s="41"/>
      <c r="U32" s="41">
        <v>1</v>
      </c>
      <c r="V32" s="41">
        <v>0</v>
      </c>
      <c r="W32" s="41"/>
      <c r="X32" s="41" t="s">
        <v>65</v>
      </c>
      <c r="Y32" s="41"/>
      <c r="Z32" s="41"/>
      <c r="AA32" s="41"/>
      <c r="AB32" s="113" t="str">
        <f t="shared" si="1"/>
        <v/>
      </c>
      <c r="AC32" s="114">
        <v>4</v>
      </c>
      <c r="AD32" s="90">
        <v>22000</v>
      </c>
      <c r="AE32" s="41"/>
      <c r="AF32" s="41"/>
      <c r="AG32" s="41"/>
      <c r="AH32" s="41"/>
      <c r="AI32" s="55">
        <v>360</v>
      </c>
      <c r="AJ32" s="41"/>
      <c r="AK32" s="41"/>
      <c r="AL32" s="41"/>
      <c r="AM32" s="90"/>
      <c r="AN32" s="90"/>
      <c r="AO32" s="90"/>
      <c r="AP32" s="90"/>
      <c r="AQ32" s="90"/>
      <c r="AR32" s="90"/>
      <c r="AS32" s="90"/>
      <c r="AW32" s="90"/>
      <c r="AX32" s="90"/>
      <c r="AY32" s="90"/>
      <c r="AZ32" s="91"/>
      <c r="BA32" s="91"/>
      <c r="BB32" s="91"/>
      <c r="BC32" s="91"/>
      <c r="BD32" s="91"/>
      <c r="BE32" s="91"/>
      <c r="BF32" s="91"/>
      <c r="BG32" s="91"/>
      <c r="BH32" s="91"/>
    </row>
    <row r="33" spans="1:60" s="62" customFormat="1" ht="20.100000000000001" customHeight="1">
      <c r="A33" s="40" t="s">
        <v>528</v>
      </c>
      <c r="B33" s="41">
        <v>39</v>
      </c>
      <c r="C33" s="41">
        <v>1</v>
      </c>
      <c r="D33" s="55" t="s">
        <v>534</v>
      </c>
      <c r="E33" s="40" t="s">
        <v>541</v>
      </c>
      <c r="F33" s="57"/>
      <c r="G33" s="112" t="s">
        <v>60</v>
      </c>
      <c r="H33" s="40" t="s">
        <v>515</v>
      </c>
      <c r="I33" s="40" t="s">
        <v>515</v>
      </c>
      <c r="J33" s="40" t="s">
        <v>547</v>
      </c>
      <c r="K33" s="40" t="s">
        <v>548</v>
      </c>
      <c r="L33" s="40" t="s">
        <v>517</v>
      </c>
      <c r="M33" s="40" t="s">
        <v>61</v>
      </c>
      <c r="N33" s="40" t="s">
        <v>62</v>
      </c>
      <c r="O33" s="41" t="s">
        <v>63</v>
      </c>
      <c r="P33" s="41" t="s">
        <v>64</v>
      </c>
      <c r="Q33" s="40" t="s">
        <v>210</v>
      </c>
      <c r="R33" s="42"/>
      <c r="S33" s="40"/>
      <c r="T33" s="41"/>
      <c r="U33" s="41">
        <v>1</v>
      </c>
      <c r="V33" s="41">
        <v>0</v>
      </c>
      <c r="W33" s="41"/>
      <c r="X33" s="41" t="s">
        <v>65</v>
      </c>
      <c r="Y33" s="41"/>
      <c r="Z33" s="41"/>
      <c r="AA33" s="41"/>
      <c r="AB33" s="113" t="str">
        <f t="shared" si="1"/>
        <v/>
      </c>
      <c r="AC33" s="114">
        <v>6</v>
      </c>
      <c r="AD33" s="90">
        <v>23000</v>
      </c>
      <c r="AE33" s="41"/>
      <c r="AF33" s="41"/>
      <c r="AG33" s="41"/>
      <c r="AH33" s="41"/>
      <c r="AI33" s="55">
        <v>360</v>
      </c>
      <c r="AJ33" s="41"/>
      <c r="AK33" s="41"/>
      <c r="AL33" s="41"/>
      <c r="AM33" s="90"/>
      <c r="AN33" s="90"/>
      <c r="AO33" s="90"/>
      <c r="AP33" s="90"/>
      <c r="AQ33" s="90"/>
      <c r="AR33" s="90"/>
      <c r="AS33" s="90"/>
      <c r="AW33" s="90"/>
      <c r="AX33" s="90"/>
      <c r="AY33" s="90"/>
      <c r="AZ33" s="91"/>
      <c r="BA33" s="91"/>
      <c r="BB33" s="91"/>
      <c r="BC33" s="91"/>
      <c r="BD33" s="91"/>
      <c r="BE33" s="91"/>
      <c r="BF33" s="91"/>
      <c r="BG33" s="91"/>
      <c r="BH33" s="91"/>
    </row>
    <row r="34" spans="1:60" s="62" customFormat="1" ht="20.100000000000001" customHeight="1">
      <c r="A34" s="40" t="s">
        <v>529</v>
      </c>
      <c r="B34" s="41">
        <v>39</v>
      </c>
      <c r="C34" s="41">
        <v>1</v>
      </c>
      <c r="D34" s="55" t="s">
        <v>535</v>
      </c>
      <c r="E34" s="40" t="s">
        <v>542</v>
      </c>
      <c r="F34" s="57"/>
      <c r="G34" s="112" t="s">
        <v>60</v>
      </c>
      <c r="H34" s="40" t="s">
        <v>515</v>
      </c>
      <c r="I34" s="40" t="s">
        <v>515</v>
      </c>
      <c r="J34" s="40" t="s">
        <v>548</v>
      </c>
      <c r="K34" s="40" t="s">
        <v>518</v>
      </c>
      <c r="L34" s="40" t="s">
        <v>517</v>
      </c>
      <c r="M34" s="40" t="s">
        <v>61</v>
      </c>
      <c r="N34" s="40" t="s">
        <v>62</v>
      </c>
      <c r="O34" s="41" t="s">
        <v>63</v>
      </c>
      <c r="P34" s="41" t="s">
        <v>64</v>
      </c>
      <c r="Q34" s="40" t="s">
        <v>210</v>
      </c>
      <c r="R34" s="42"/>
      <c r="S34" s="40"/>
      <c r="T34" s="41"/>
      <c r="U34" s="41">
        <v>1</v>
      </c>
      <c r="V34" s="41">
        <v>0</v>
      </c>
      <c r="W34" s="41"/>
      <c r="X34" s="41" t="s">
        <v>65</v>
      </c>
      <c r="Y34" s="41"/>
      <c r="Z34" s="41"/>
      <c r="AA34" s="41"/>
      <c r="AB34" s="113" t="str">
        <f t="shared" si="1"/>
        <v/>
      </c>
      <c r="AC34" s="114">
        <v>5</v>
      </c>
      <c r="AD34" s="90">
        <v>24000</v>
      </c>
      <c r="AE34" s="41"/>
      <c r="AF34" s="41"/>
      <c r="AG34" s="41"/>
      <c r="AH34" s="41"/>
      <c r="AI34" s="55">
        <v>360</v>
      </c>
      <c r="AJ34" s="41"/>
      <c r="AK34" s="41"/>
      <c r="AL34" s="41"/>
      <c r="AM34" s="90"/>
      <c r="AN34" s="90"/>
      <c r="AO34" s="90"/>
      <c r="AP34" s="90"/>
      <c r="AQ34" s="90"/>
      <c r="AR34" s="90"/>
      <c r="AS34" s="90"/>
      <c r="AW34" s="90"/>
      <c r="AX34" s="90"/>
      <c r="AY34" s="90"/>
      <c r="AZ34" s="91"/>
      <c r="BA34" s="91"/>
      <c r="BB34" s="91"/>
      <c r="BC34" s="91"/>
      <c r="BD34" s="91"/>
      <c r="BE34" s="91"/>
      <c r="BF34" s="91"/>
      <c r="BG34" s="91"/>
      <c r="BH34" s="91"/>
    </row>
    <row r="35" spans="1:60" ht="16.5">
      <c r="C35" s="126" t="s">
        <v>566</v>
      </c>
    </row>
    <row r="36" spans="1:60" ht="16.5">
      <c r="A36" s="130">
        <v>3020271</v>
      </c>
      <c r="B36" s="131" t="s">
        <v>573</v>
      </c>
      <c r="C36" s="127" t="s">
        <v>567</v>
      </c>
    </row>
    <row r="37" spans="1:60" ht="16.5">
      <c r="A37" s="130">
        <v>3020272</v>
      </c>
      <c r="B37" s="131" t="s">
        <v>573</v>
      </c>
      <c r="C37" s="126" t="s">
        <v>568</v>
      </c>
    </row>
    <row r="38" spans="1:60" ht="16.5">
      <c r="A38" s="130">
        <v>3020273</v>
      </c>
      <c r="B38" s="131" t="s">
        <v>573</v>
      </c>
      <c r="C38" s="128" t="s">
        <v>569</v>
      </c>
    </row>
    <row r="39" spans="1:60" ht="14.25">
      <c r="A39" s="130">
        <v>3020274</v>
      </c>
      <c r="B39" s="131" t="s">
        <v>573</v>
      </c>
      <c r="C39" s="125" t="s">
        <v>570</v>
      </c>
    </row>
    <row r="40" spans="1:60" ht="16.5">
      <c r="A40" s="130">
        <v>3020275</v>
      </c>
      <c r="B40" s="131" t="s">
        <v>573</v>
      </c>
      <c r="C40" s="126" t="s">
        <v>571</v>
      </c>
    </row>
    <row r="41" spans="1:60" ht="16.5">
      <c r="A41" s="130">
        <v>3020276</v>
      </c>
      <c r="B41" s="131" t="s">
        <v>573</v>
      </c>
      <c r="C41" s="129" t="s">
        <v>572</v>
      </c>
    </row>
    <row r="42" spans="1:60" ht="16.5">
      <c r="C42" s="129" t="s">
        <v>565</v>
      </c>
    </row>
  </sheetData>
  <mergeCells count="5">
    <mergeCell ref="C15:C20"/>
    <mergeCell ref="I17:I22"/>
    <mergeCell ref="C21:C24"/>
    <mergeCell ref="D17:D20"/>
    <mergeCell ref="D21:D24"/>
  </mergeCells>
  <phoneticPr fontId="37"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ActivityBase</vt:lpstr>
      <vt:lpstr>ActivityDesc</vt:lpstr>
      <vt:lpstr>ActivityDesc-X1</vt:lpstr>
      <vt:lpstr>ActivityDesc-X2</vt:lpstr>
      <vt:lpstr>备注</vt:lpstr>
      <vt:lpstr>备份</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zhangzhihai</dc:creator>
  <cp:lastModifiedBy>Administrator</cp:lastModifiedBy>
  <dcterms:created xsi:type="dcterms:W3CDTF">2013-08-26T12:33:00Z</dcterms:created>
  <dcterms:modified xsi:type="dcterms:W3CDTF">2019-07-25T09:14:33Z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2052-9.1.0.4866</vt:lpwstr>
  </property>
</Properties>
</file>